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search\"/>
    </mc:Choice>
  </mc:AlternateContent>
  <xr:revisionPtr revIDLastSave="0" documentId="13_ncr:1_{E16647C8-0C7F-4539-92AD-D8E710217329}" xr6:coauthVersionLast="47" xr6:coauthVersionMax="47" xr10:uidLastSave="{00000000-0000-0000-0000-000000000000}"/>
  <bookViews>
    <workbookView xWindow="-110" yWindow="-110" windowWidth="25820" windowHeight="15500" activeTab="2" xr2:uid="{4475DA17-9F48-43EC-95F3-F9F0870E0B7E}"/>
  </bookViews>
  <sheets>
    <sheet name="liquidus line" sheetId="2" r:id="rId1"/>
    <sheet name="Excess values" sheetId="1" r:id="rId2"/>
    <sheet name="dmu=dmu0+dmu(p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2" i="3" l="1"/>
  <c r="X62" i="3" s="1"/>
  <c r="Z62" i="3" s="1"/>
  <c r="W61" i="3"/>
  <c r="X61" i="3" s="1"/>
  <c r="Z61" i="3" s="1"/>
  <c r="W60" i="3"/>
  <c r="X60" i="3" s="1"/>
  <c r="Z60" i="3" s="1"/>
  <c r="W59" i="3"/>
  <c r="X59" i="3" s="1"/>
  <c r="Z59" i="3" s="1"/>
  <c r="W58" i="3"/>
  <c r="W57" i="3"/>
  <c r="X41" i="3"/>
  <c r="Z41" i="3" s="1"/>
  <c r="X17" i="3"/>
  <c r="Z17" i="3" s="1"/>
  <c r="F79" i="3"/>
  <c r="G64" i="3" s="1"/>
  <c r="I64" i="3" s="1"/>
  <c r="F78" i="3"/>
  <c r="G78" i="3" s="1"/>
  <c r="I78" i="3" s="1"/>
  <c r="F77" i="3"/>
  <c r="G77" i="3" s="1"/>
  <c r="I77" i="3" s="1"/>
  <c r="F76" i="3"/>
  <c r="G76" i="3" s="1"/>
  <c r="I76" i="3" s="1"/>
  <c r="F75" i="3"/>
  <c r="G75" i="3" s="1"/>
  <c r="I75" i="3" s="1"/>
  <c r="F74" i="3"/>
  <c r="G74" i="3" s="1"/>
  <c r="I74" i="3" s="1"/>
  <c r="F73" i="3"/>
  <c r="G73" i="3" s="1"/>
  <c r="I73" i="3" s="1"/>
  <c r="F72" i="3"/>
  <c r="G72" i="3" s="1"/>
  <c r="I72" i="3" s="1"/>
  <c r="F71" i="3"/>
  <c r="F70" i="3"/>
  <c r="G70" i="3" s="1"/>
  <c r="I70" i="3" s="1"/>
  <c r="F69" i="3"/>
  <c r="G69" i="3" s="1"/>
  <c r="I69" i="3" s="1"/>
  <c r="F68" i="3"/>
  <c r="G68" i="3" s="1"/>
  <c r="I68" i="3" s="1"/>
  <c r="F67" i="3"/>
  <c r="G59" i="3"/>
  <c r="I59" i="3" s="1"/>
  <c r="G58" i="3"/>
  <c r="I58" i="3" s="1"/>
  <c r="G55" i="3"/>
  <c r="I55" i="3" s="1"/>
  <c r="G53" i="3"/>
  <c r="I53" i="3" s="1"/>
  <c r="G52" i="3"/>
  <c r="I52" i="3" s="1"/>
  <c r="G51" i="3"/>
  <c r="I51" i="3" s="1"/>
  <c r="G50" i="3"/>
  <c r="I50" i="3" s="1"/>
  <c r="G48" i="3"/>
  <c r="I48" i="3" s="1"/>
  <c r="G45" i="3"/>
  <c r="I45" i="3" s="1"/>
  <c r="G43" i="3"/>
  <c r="I43" i="3" s="1"/>
  <c r="G33" i="3"/>
  <c r="I33" i="3" s="1"/>
  <c r="G32" i="3"/>
  <c r="I32" i="3" s="1"/>
  <c r="G31" i="3"/>
  <c r="I31" i="3" s="1"/>
  <c r="G30" i="3"/>
  <c r="I30" i="3" s="1"/>
  <c r="G29" i="3"/>
  <c r="I29" i="3" s="1"/>
  <c r="G28" i="3"/>
  <c r="I28" i="3" s="1"/>
  <c r="G25" i="3"/>
  <c r="I25" i="3" s="1"/>
  <c r="G23" i="3"/>
  <c r="I23" i="3" s="1"/>
  <c r="G21" i="3"/>
  <c r="I21" i="3" s="1"/>
  <c r="G20" i="3"/>
  <c r="I20" i="3" s="1"/>
  <c r="G10" i="3"/>
  <c r="I10" i="3" s="1"/>
  <c r="G9" i="3"/>
  <c r="I9" i="3" s="1"/>
  <c r="G8" i="3"/>
  <c r="I8" i="3" s="1"/>
  <c r="G5" i="3"/>
  <c r="I5" i="3" s="1"/>
  <c r="G3" i="3"/>
  <c r="I3" i="3" s="1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X20" i="3" l="1"/>
  <c r="Z20" i="3" s="1"/>
  <c r="X42" i="3"/>
  <c r="Z42" i="3" s="1"/>
  <c r="X48" i="3"/>
  <c r="Z48" i="3" s="1"/>
  <c r="X30" i="3"/>
  <c r="Z30" i="3" s="1"/>
  <c r="G13" i="3"/>
  <c r="I13" i="3" s="1"/>
  <c r="G40" i="3"/>
  <c r="I40" i="3" s="1"/>
  <c r="G62" i="3"/>
  <c r="I62" i="3" s="1"/>
  <c r="X7" i="3"/>
  <c r="Z7" i="3" s="1"/>
  <c r="X31" i="3"/>
  <c r="Z31" i="3" s="1"/>
  <c r="X57" i="3"/>
  <c r="Z57" i="3" s="1"/>
  <c r="X18" i="3"/>
  <c r="Z18" i="3" s="1"/>
  <c r="X19" i="3"/>
  <c r="Z19" i="3" s="1"/>
  <c r="X44" i="3"/>
  <c r="Z44" i="3" s="1"/>
  <c r="X46" i="3"/>
  <c r="Z46" i="3" s="1"/>
  <c r="X21" i="3"/>
  <c r="Z21" i="3" s="1"/>
  <c r="X47" i="3"/>
  <c r="Z47" i="3" s="1"/>
  <c r="X22" i="3"/>
  <c r="Z22" i="3" s="1"/>
  <c r="X49" i="3"/>
  <c r="Z49" i="3" s="1"/>
  <c r="X26" i="3"/>
  <c r="Z26" i="3" s="1"/>
  <c r="X27" i="3"/>
  <c r="Z27" i="3" s="1"/>
  <c r="G60" i="3"/>
  <c r="I60" i="3" s="1"/>
  <c r="X52" i="3"/>
  <c r="Z52" i="3" s="1"/>
  <c r="G38" i="3"/>
  <c r="I38" i="3" s="1"/>
  <c r="G61" i="3"/>
  <c r="I61" i="3" s="1"/>
  <c r="X4" i="3"/>
  <c r="Z4" i="3" s="1"/>
  <c r="X29" i="3"/>
  <c r="Z29" i="3" s="1"/>
  <c r="X54" i="3"/>
  <c r="Z54" i="3" s="1"/>
  <c r="G12" i="3"/>
  <c r="I12" i="3" s="1"/>
  <c r="G39" i="3"/>
  <c r="I39" i="3" s="1"/>
  <c r="X6" i="3"/>
  <c r="Z6" i="3" s="1"/>
  <c r="X56" i="3"/>
  <c r="Z56" i="3" s="1"/>
  <c r="G15" i="3"/>
  <c r="I15" i="3" s="1"/>
  <c r="G41" i="3"/>
  <c r="I41" i="3" s="1"/>
  <c r="G63" i="3"/>
  <c r="I63" i="3" s="1"/>
  <c r="X8" i="3"/>
  <c r="Z8" i="3" s="1"/>
  <c r="X32" i="3"/>
  <c r="Z32" i="3" s="1"/>
  <c r="X58" i="3"/>
  <c r="Z58" i="3" s="1"/>
  <c r="X24" i="3"/>
  <c r="Z24" i="3" s="1"/>
  <c r="X50" i="3"/>
  <c r="Z50" i="3" s="1"/>
  <c r="X51" i="3"/>
  <c r="Z51" i="3" s="1"/>
  <c r="G11" i="3"/>
  <c r="I11" i="3" s="1"/>
  <c r="G35" i="3"/>
  <c r="I35" i="3" s="1"/>
  <c r="X28" i="3"/>
  <c r="Z28" i="3" s="1"/>
  <c r="G18" i="3"/>
  <c r="I18" i="3" s="1"/>
  <c r="G65" i="3"/>
  <c r="I65" i="3" s="1"/>
  <c r="X9" i="3"/>
  <c r="Z9" i="3" s="1"/>
  <c r="X34" i="3"/>
  <c r="Z34" i="3" s="1"/>
  <c r="G19" i="3"/>
  <c r="I19" i="3" s="1"/>
  <c r="G42" i="3"/>
  <c r="I42" i="3" s="1"/>
  <c r="G67" i="3"/>
  <c r="I67" i="3" s="1"/>
  <c r="X10" i="3"/>
  <c r="Z10" i="3" s="1"/>
  <c r="X36" i="3"/>
  <c r="Z36" i="3" s="1"/>
  <c r="X11" i="3"/>
  <c r="Z11" i="3" s="1"/>
  <c r="X37" i="3"/>
  <c r="Z37" i="3" s="1"/>
  <c r="X12" i="3"/>
  <c r="Z12" i="3" s="1"/>
  <c r="X38" i="3"/>
  <c r="Z38" i="3" s="1"/>
  <c r="X14" i="3"/>
  <c r="Z14" i="3" s="1"/>
  <c r="X39" i="3"/>
  <c r="Z39" i="3" s="1"/>
  <c r="G22" i="3"/>
  <c r="I22" i="3" s="1"/>
  <c r="G49" i="3"/>
  <c r="I49" i="3" s="1"/>
  <c r="G71" i="3"/>
  <c r="I71" i="3" s="1"/>
  <c r="X16" i="3"/>
  <c r="Z16" i="3" s="1"/>
  <c r="X40" i="3"/>
  <c r="Z40" i="3" s="1"/>
  <c r="X3" i="3"/>
  <c r="Z3" i="3" s="1"/>
  <c r="X13" i="3"/>
  <c r="Z13" i="3" s="1"/>
  <c r="X23" i="3"/>
  <c r="Z23" i="3" s="1"/>
  <c r="X33" i="3"/>
  <c r="Z33" i="3" s="1"/>
  <c r="X43" i="3"/>
  <c r="Z43" i="3" s="1"/>
  <c r="X53" i="3"/>
  <c r="Z53" i="3" s="1"/>
  <c r="X5" i="3"/>
  <c r="Z5" i="3" s="1"/>
  <c r="X15" i="3"/>
  <c r="Z15" i="3" s="1"/>
  <c r="X25" i="3"/>
  <c r="Z25" i="3" s="1"/>
  <c r="X35" i="3"/>
  <c r="Z35" i="3" s="1"/>
  <c r="X45" i="3"/>
  <c r="Z45" i="3" s="1"/>
  <c r="X55" i="3"/>
  <c r="Z55" i="3" s="1"/>
  <c r="G79" i="3"/>
  <c r="I79" i="3" s="1"/>
  <c r="G6" i="3"/>
  <c r="I6" i="3" s="1"/>
  <c r="G16" i="3"/>
  <c r="I16" i="3" s="1"/>
  <c r="G26" i="3"/>
  <c r="I26" i="3" s="1"/>
  <c r="G36" i="3"/>
  <c r="I36" i="3" s="1"/>
  <c r="G46" i="3"/>
  <c r="I46" i="3" s="1"/>
  <c r="G56" i="3"/>
  <c r="I56" i="3" s="1"/>
  <c r="G66" i="3"/>
  <c r="I66" i="3" s="1"/>
  <c r="G7" i="3"/>
  <c r="I7" i="3" s="1"/>
  <c r="G17" i="3"/>
  <c r="I17" i="3" s="1"/>
  <c r="G27" i="3"/>
  <c r="I27" i="3" s="1"/>
  <c r="G37" i="3"/>
  <c r="I37" i="3" s="1"/>
  <c r="G47" i="3"/>
  <c r="I47" i="3" s="1"/>
  <c r="G57" i="3"/>
  <c r="I57" i="3" s="1"/>
  <c r="G4" i="3"/>
  <c r="I4" i="3" s="1"/>
  <c r="G14" i="3"/>
  <c r="I14" i="3" s="1"/>
  <c r="G24" i="3"/>
  <c r="I24" i="3" s="1"/>
  <c r="G34" i="3"/>
  <c r="I34" i="3" s="1"/>
  <c r="G44" i="3"/>
  <c r="I44" i="3" s="1"/>
  <c r="G54" i="3"/>
  <c r="I54" i="3" s="1"/>
</calcChain>
</file>

<file path=xl/sharedStrings.xml><?xml version="1.0" encoding="utf-8"?>
<sst xmlns="http://schemas.openxmlformats.org/spreadsheetml/2006/main" count="34" uniqueCount="29">
  <si>
    <t>Excess Cd</t>
  </si>
  <si>
    <t>Temp</t>
  </si>
  <si>
    <t>Excess Te</t>
  </si>
  <si>
    <t>Liquidus line</t>
  </si>
  <si>
    <t>Brebrick</t>
  </si>
  <si>
    <t>Lorenz</t>
  </si>
  <si>
    <t>Te, a/o</t>
  </si>
  <si>
    <t>T</t>
  </si>
  <si>
    <t>Atom % Te</t>
  </si>
  <si>
    <t xml:space="preserve">T (C) </t>
  </si>
  <si>
    <t>T(K)</t>
  </si>
  <si>
    <t xml:space="preserve">Cd rich </t>
  </si>
  <si>
    <t>dmu0_Cd taken from mu_Cd from Cd rich condition at 600 K</t>
  </si>
  <si>
    <t>T_equilibrium (K)</t>
  </si>
  <si>
    <t>\mu_{Cd} (eV)</t>
  </si>
  <si>
    <t>at% Te</t>
  </si>
  <si>
    <t>P_Cd</t>
  </si>
  <si>
    <t>k_bTln(P_Cd/P_ref)</t>
  </si>
  <si>
    <t>mu0_Cd(T)</t>
  </si>
  <si>
    <t>dmu_Cd = dmu0_Cd(600) + kBTln(P_Cd/P_ref)</t>
  </si>
  <si>
    <t>kB</t>
  </si>
  <si>
    <t>Te rich</t>
  </si>
  <si>
    <t>dmu0_Te taken from mu_Te from Te rich condition at 720 K</t>
  </si>
  <si>
    <t>\mu_{Te} (eV)</t>
  </si>
  <si>
    <t>P_Te2</t>
  </si>
  <si>
    <t>k_bTln(P_Te/P_ref)/2</t>
  </si>
  <si>
    <t>Mu0_Te(T)</t>
  </si>
  <si>
    <t>dmu_Te = dmu0_Te(720) + kBTln(P_Te/P_ref)/2</t>
  </si>
  <si>
    <t>solidus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</si>
</sst>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'Excess values'!$C$2</c:f>
              <c:strCache>
                <c:ptCount val="1"/>
                <c:pt idx="0">
                  <c:v>Excess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'Excess values'!$C$3:$C$28</c:f>
              <c:numCache>
                <c:formatCode>0.00E+00</c:formatCode>
                <c:ptCount val="26"/>
                <c:pt idx="0">
                  <c:v>6620070000000000</c:v>
                </c:pt>
                <c:pt idx="1">
                  <c:v>6843190000000000</c:v>
                </c:pt>
                <c:pt idx="2">
                  <c:v>7508740000000000</c:v>
                </c:pt>
                <c:pt idx="3">
                  <c:v>8293830000000000</c:v>
                </c:pt>
                <c:pt idx="4">
                  <c:v>8803760000000000</c:v>
                </c:pt>
                <c:pt idx="5">
                  <c:v>1.08603E+16</c:v>
                </c:pt>
                <c:pt idx="6">
                  <c:v>1.41896E+16</c:v>
                </c:pt>
                <c:pt idx="7">
                  <c:v>2.61707E+16</c:v>
                </c:pt>
                <c:pt idx="8">
                  <c:v>4.11681E+16</c:v>
                </c:pt>
                <c:pt idx="9">
                  <c:v>7.09014E+16</c:v>
                </c:pt>
                <c:pt idx="10">
                  <c:v>1.0982E+17</c:v>
                </c:pt>
                <c:pt idx="11">
                  <c:v>1.61315E+17</c:v>
                </c:pt>
                <c:pt idx="12">
                  <c:v>2.6699E+17</c:v>
                </c:pt>
                <c:pt idx="13">
                  <c:v>2.89737E+17</c:v>
                </c:pt>
                <c:pt idx="14">
                  <c:v>2.94905E+17</c:v>
                </c:pt>
                <c:pt idx="15">
                  <c:v>2.71152E+17</c:v>
                </c:pt>
                <c:pt idx="16">
                  <c:v>2.41183E+17</c:v>
                </c:pt>
                <c:pt idx="17">
                  <c:v>2.03895E+17</c:v>
                </c:pt>
                <c:pt idx="18">
                  <c:v>1.57441E+17</c:v>
                </c:pt>
                <c:pt idx="19">
                  <c:v>1.23466E+17</c:v>
                </c:pt>
                <c:pt idx="20">
                  <c:v>9.12146E+16</c:v>
                </c:pt>
                <c:pt idx="21">
                  <c:v>5.4266E+16</c:v>
                </c:pt>
                <c:pt idx="22">
                  <c:v>4.00907E+16</c:v>
                </c:pt>
                <c:pt idx="23">
                  <c:v>2.25193E+16</c:v>
                </c:pt>
                <c:pt idx="24">
                  <c:v>9810580000000000</c:v>
                </c:pt>
                <c:pt idx="25">
                  <c:v>4467150000000000</c:v>
                </c:pt>
              </c:numCache>
            </c:numRef>
          </c:xVal>
          <c:yVal>
            <c:numRef>
              <c:f>'Excess values'!$D$3:$D$28</c:f>
              <c:numCache>
                <c:formatCode>General</c:formatCode>
                <c:ptCount val="26"/>
                <c:pt idx="0">
                  <c:v>309.63952</c:v>
                </c:pt>
                <c:pt idx="1">
                  <c:v>370.2758</c:v>
                </c:pt>
                <c:pt idx="2">
                  <c:v>450.65411999999998</c:v>
                </c:pt>
                <c:pt idx="3">
                  <c:v>504.94474000000002</c:v>
                </c:pt>
                <c:pt idx="4">
                  <c:v>527.27206000000001</c:v>
                </c:pt>
                <c:pt idx="5">
                  <c:v>594.95906000000002</c:v>
                </c:pt>
                <c:pt idx="6">
                  <c:v>642.19894999999997</c:v>
                </c:pt>
                <c:pt idx="7">
                  <c:v>696.48958000000005</c:v>
                </c:pt>
                <c:pt idx="8">
                  <c:v>738.55893000000003</c:v>
                </c:pt>
                <c:pt idx="9">
                  <c:v>790.26427999999999</c:v>
                </c:pt>
                <c:pt idx="10">
                  <c:v>836.56407999999999</c:v>
                </c:pt>
                <c:pt idx="11">
                  <c:v>875.81313999999998</c:v>
                </c:pt>
                <c:pt idx="12">
                  <c:v>934.56922999999995</c:v>
                </c:pt>
                <c:pt idx="13">
                  <c:v>961.36199999999997</c:v>
                </c:pt>
                <c:pt idx="14">
                  <c:v>986.27458000000001</c:v>
                </c:pt>
                <c:pt idx="15">
                  <c:v>1014.71252</c:v>
                </c:pt>
                <c:pt idx="16">
                  <c:v>1029.9891</c:v>
                </c:pt>
                <c:pt idx="17">
                  <c:v>1045.0306599999999</c:v>
                </c:pt>
                <c:pt idx="18">
                  <c:v>1055.84178</c:v>
                </c:pt>
                <c:pt idx="19">
                  <c:v>1061.9524100000001</c:v>
                </c:pt>
                <c:pt idx="20">
                  <c:v>1063.8326099999999</c:v>
                </c:pt>
                <c:pt idx="21">
                  <c:v>1062.8925099999999</c:v>
                </c:pt>
                <c:pt idx="22">
                  <c:v>1062.8925099999999</c:v>
                </c:pt>
                <c:pt idx="23">
                  <c:v>1062.8925099999999</c:v>
                </c:pt>
                <c:pt idx="24">
                  <c:v>1062.8925099999999</c:v>
                </c:pt>
                <c:pt idx="25">
                  <c:v>1062.8925099999999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DB-43F7-BBC6-F8365A8D3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646992"/>
        <c:axId val="1494644592"/>
      </c:scatterChart>
      <c:valAx>
        <c:axId val="1494646992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644592"/>
        <c:crosses val="autoZero"/>
        <c:crossBetween val="midCat"/>
      </c:valAx>
      <c:valAx>
        <c:axId val="1494644592"/>
        <c:scaling>
          <c:orientation val="minMax"/>
          <c:min val="3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64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'Excess values'!$F$2</c:f>
              <c:strCache>
                <c:ptCount val="1"/>
                <c:pt idx="0">
                  <c:v>Excess 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'Excess values'!$F$3:$F$35</c:f>
              <c:numCache>
                <c:formatCode>0.00E+00</c:formatCode>
                <c:ptCount val="33"/>
                <c:pt idx="0">
                  <c:v>4781510000000000</c:v>
                </c:pt>
                <c:pt idx="1">
                  <c:v>8163290000000000</c:v>
                </c:pt>
                <c:pt idx="2">
                  <c:v>1.34546E+16</c:v>
                </c:pt>
                <c:pt idx="3">
                  <c:v>2.9007E+16</c:v>
                </c:pt>
                <c:pt idx="4">
                  <c:v>5.16377E+16</c:v>
                </c:pt>
                <c:pt idx="5">
                  <c:v>6.85941E+16</c:v>
                </c:pt>
                <c:pt idx="6">
                  <c:v>8.16222E+16</c:v>
                </c:pt>
                <c:pt idx="7">
                  <c:v>1.10351E+17</c:v>
                </c:pt>
                <c:pt idx="8">
                  <c:v>1.48863E+17</c:v>
                </c:pt>
                <c:pt idx="9">
                  <c:v>1.67284E+17</c:v>
                </c:pt>
                <c:pt idx="10">
                  <c:v>1.77527E+17</c:v>
                </c:pt>
                <c:pt idx="11">
                  <c:v>1.79097E+17</c:v>
                </c:pt>
                <c:pt idx="12">
                  <c:v>1.75971E+17</c:v>
                </c:pt>
                <c:pt idx="13">
                  <c:v>1.7328E+17</c:v>
                </c:pt>
                <c:pt idx="14">
                  <c:v>1.66183E+17</c:v>
                </c:pt>
                <c:pt idx="15">
                  <c:v>1.56594E+17</c:v>
                </c:pt>
                <c:pt idx="16">
                  <c:v>1.45302E+17</c:v>
                </c:pt>
                <c:pt idx="17">
                  <c:v>1.32471E+17</c:v>
                </c:pt>
                <c:pt idx="18">
                  <c:v>1.18927E+17</c:v>
                </c:pt>
                <c:pt idx="19">
                  <c:v>1.03984E+17</c:v>
                </c:pt>
                <c:pt idx="20">
                  <c:v>9.03198E+16</c:v>
                </c:pt>
                <c:pt idx="21">
                  <c:v>7.32767E+16</c:v>
                </c:pt>
                <c:pt idx="22">
                  <c:v>6.05057E+16</c:v>
                </c:pt>
                <c:pt idx="23">
                  <c:v>5.19798E+16</c:v>
                </c:pt>
                <c:pt idx="24">
                  <c:v>4.33002E+16</c:v>
                </c:pt>
                <c:pt idx="25">
                  <c:v>3.48216E+16</c:v>
                </c:pt>
                <c:pt idx="26">
                  <c:v>2.95223E+16</c:v>
                </c:pt>
                <c:pt idx="27">
                  <c:v>2.43235E+16</c:v>
                </c:pt>
                <c:pt idx="28">
                  <c:v>2.05765E+16</c:v>
                </c:pt>
                <c:pt idx="29">
                  <c:v>1.83107E+16</c:v>
                </c:pt>
                <c:pt idx="30">
                  <c:v>1.65839E+16</c:v>
                </c:pt>
                <c:pt idx="31">
                  <c:v>1.45002E+16</c:v>
                </c:pt>
                <c:pt idx="32">
                  <c:v>1.31327E+16</c:v>
                </c:pt>
              </c:numCache>
            </c:numRef>
          </c:xVal>
          <c:yVal>
            <c:numRef>
              <c:f>'Excess values'!$G$3:$G$35</c:f>
              <c:numCache>
                <c:formatCode>General</c:formatCode>
                <c:ptCount val="33"/>
                <c:pt idx="0">
                  <c:v>1063.8326099999999</c:v>
                </c:pt>
                <c:pt idx="1">
                  <c:v>1063.8326099999999</c:v>
                </c:pt>
                <c:pt idx="2">
                  <c:v>1063.8326099999999</c:v>
                </c:pt>
                <c:pt idx="3">
                  <c:v>1064.77271</c:v>
                </c:pt>
                <c:pt idx="4">
                  <c:v>1070.8833400000001</c:v>
                </c:pt>
                <c:pt idx="5">
                  <c:v>1076.2889</c:v>
                </c:pt>
                <c:pt idx="6">
                  <c:v>1078.87417</c:v>
                </c:pt>
                <c:pt idx="7">
                  <c:v>1086.1599200000001</c:v>
                </c:pt>
                <c:pt idx="8">
                  <c:v>1092.27055</c:v>
                </c:pt>
                <c:pt idx="9">
                  <c:v>1078.1690900000001</c:v>
                </c:pt>
                <c:pt idx="10">
                  <c:v>1054.9016799999999</c:v>
                </c:pt>
                <c:pt idx="11">
                  <c:v>1016.59272</c:v>
                </c:pt>
                <c:pt idx="12">
                  <c:v>984.39437999999996</c:v>
                </c:pt>
                <c:pt idx="13">
                  <c:v>950.55088000000001</c:v>
                </c:pt>
                <c:pt idx="14">
                  <c:v>918.58757000000003</c:v>
                </c:pt>
                <c:pt idx="15">
                  <c:v>880.98368000000005</c:v>
                </c:pt>
                <c:pt idx="16">
                  <c:v>849.02036999999996</c:v>
                </c:pt>
                <c:pt idx="17">
                  <c:v>818.70222999999999</c:v>
                </c:pt>
                <c:pt idx="18">
                  <c:v>788.38409000000001</c:v>
                </c:pt>
                <c:pt idx="19">
                  <c:v>757.12585000000001</c:v>
                </c:pt>
                <c:pt idx="20">
                  <c:v>731.27318000000002</c:v>
                </c:pt>
                <c:pt idx="21">
                  <c:v>702.83523000000002</c:v>
                </c:pt>
                <c:pt idx="22">
                  <c:v>680.50792000000001</c:v>
                </c:pt>
                <c:pt idx="23">
                  <c:v>662.64607000000001</c:v>
                </c:pt>
                <c:pt idx="24">
                  <c:v>637.73348999999996</c:v>
                </c:pt>
                <c:pt idx="25">
                  <c:v>603.88999000000001</c:v>
                </c:pt>
                <c:pt idx="26">
                  <c:v>571.69164999999998</c:v>
                </c:pt>
                <c:pt idx="27">
                  <c:v>530.79741999999999</c:v>
                </c:pt>
                <c:pt idx="28">
                  <c:v>487.08289000000002</c:v>
                </c:pt>
                <c:pt idx="29">
                  <c:v>453.23939000000001</c:v>
                </c:pt>
                <c:pt idx="30">
                  <c:v>420.33598000000001</c:v>
                </c:pt>
                <c:pt idx="31">
                  <c:v>373.09609</c:v>
                </c:pt>
                <c:pt idx="32">
                  <c:v>330.32166000000001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C9-4049-82BA-B88E621E2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666192"/>
        <c:axId val="1494666672"/>
      </c:scatterChart>
      <c:valAx>
        <c:axId val="149466619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666672"/>
        <c:crosses val="autoZero"/>
        <c:crossBetween val="midCat"/>
      </c:valAx>
      <c:valAx>
        <c:axId val="1494666672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66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'dmu=dmu0+dmu(p)'!$I$2</c:f>
              <c:strCache>
                <c:ptCount val="1"/>
                <c:pt idx="0">
                  <c:v>dmu_Cd = dmu0_Cd(600) + kBTln(P_Cd/P_ref)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'dmu=dmu0+dmu(p)'!$E$3:$E$94</c:f>
              <c:numCache>
                <c:formatCode>General</c:formatCode>
                <c:ptCount val="92"/>
                <c:pt idx="0">
                  <c:v>982.4823398799407</c:v>
                </c:pt>
                <c:pt idx="1">
                  <c:v>1000.5803365952253</c:v>
                </c:pt>
                <c:pt idx="2">
                  <c:v>1021.9932957239801</c:v>
                </c:pt>
                <c:pt idx="3">
                  <c:v>1040.6368697642959</c:v>
                </c:pt>
                <c:pt idx="4">
                  <c:v>1067.0878106559389</c:v>
                </c:pt>
                <c:pt idx="5">
                  <c:v>1084.9517196484758</c:v>
                </c:pt>
                <c:pt idx="6">
                  <c:v>1111.6793027547412</c:v>
                </c:pt>
                <c:pt idx="7">
                  <c:v>1137.0355209896757</c:v>
                </c:pt>
                <c:pt idx="8">
                  <c:v>1170.3434958160219</c:v>
                </c:pt>
                <c:pt idx="9">
                  <c:v>1199.1126566340909</c:v>
                </c:pt>
                <c:pt idx="10">
                  <c:v>1228.0184693977797</c:v>
                </c:pt>
                <c:pt idx="11">
                  <c:v>1257.8141705344451</c:v>
                </c:pt>
                <c:pt idx="12">
                  <c:v>1284.7195457231687</c:v>
                </c:pt>
                <c:pt idx="13">
                  <c:v>1318.1308903974164</c:v>
                </c:pt>
                <c:pt idx="14">
                  <c:v>1325.2580940138093</c:v>
                </c:pt>
                <c:pt idx="15">
                  <c:v>1337.1665440930667</c:v>
                </c:pt>
                <c:pt idx="16">
                  <c:v>1348.508549544204</c:v>
                </c:pt>
                <c:pt idx="17">
                  <c:v>1348.5812924803108</c:v>
                </c:pt>
                <c:pt idx="18">
                  <c:v>1350.7125008441953</c:v>
                </c:pt>
                <c:pt idx="19">
                  <c:v>1353.1250422851576</c:v>
                </c:pt>
                <c:pt idx="20">
                  <c:v>1354.5546901456146</c:v>
                </c:pt>
                <c:pt idx="21">
                  <c:v>1357.5889220743959</c:v>
                </c:pt>
                <c:pt idx="22">
                  <c:v>1364.7405628190081</c:v>
                </c:pt>
                <c:pt idx="23">
                  <c:v>1364.7405628190081</c:v>
                </c:pt>
                <c:pt idx="24">
                  <c:v>1365.3554702966917</c:v>
                </c:pt>
                <c:pt idx="25">
                  <c:v>1365</c:v>
                </c:pt>
                <c:pt idx="26">
                  <c:v>1364.7405628190081</c:v>
                </c:pt>
                <c:pt idx="27">
                  <c:v>1364</c:v>
                </c:pt>
                <c:pt idx="28">
                  <c:v>1363.1035140808592</c:v>
                </c:pt>
                <c:pt idx="29">
                  <c:v>1363</c:v>
                </c:pt>
                <c:pt idx="30">
                  <c:v>1362</c:v>
                </c:pt>
                <c:pt idx="31">
                  <c:v>1361</c:v>
                </c:pt>
                <c:pt idx="32">
                  <c:v>1360.840455065048</c:v>
                </c:pt>
                <c:pt idx="33">
                  <c:v>1358.4003477504889</c:v>
                </c:pt>
                <c:pt idx="34">
                  <c:v>1358</c:v>
                </c:pt>
                <c:pt idx="35">
                  <c:v>1355</c:v>
                </c:pt>
                <c:pt idx="36">
                  <c:v>1352.3199047966789</c:v>
                </c:pt>
                <c:pt idx="37">
                  <c:v>1352</c:v>
                </c:pt>
                <c:pt idx="38">
                  <c:v>1347.7088948787061</c:v>
                </c:pt>
                <c:pt idx="39">
                  <c:v>1347</c:v>
                </c:pt>
                <c:pt idx="40">
                  <c:v>1341</c:v>
                </c:pt>
                <c:pt idx="41">
                  <c:v>1340.931947703654</c:v>
                </c:pt>
                <c:pt idx="42">
                  <c:v>1329.7341861361915</c:v>
                </c:pt>
                <c:pt idx="43">
                  <c:v>1329</c:v>
                </c:pt>
                <c:pt idx="44">
                  <c:v>1316</c:v>
                </c:pt>
                <c:pt idx="45">
                  <c:v>1315.8414147926892</c:v>
                </c:pt>
                <c:pt idx="46">
                  <c:v>1295.9075240390846</c:v>
                </c:pt>
                <c:pt idx="47">
                  <c:v>1277.3023374632776</c:v>
                </c:pt>
                <c:pt idx="48">
                  <c:v>1250.5314758772479</c:v>
                </c:pt>
                <c:pt idx="49">
                  <c:v>1219.2594218271822</c:v>
                </c:pt>
                <c:pt idx="50">
                  <c:v>1171.5500779080801</c:v>
                </c:pt>
                <c:pt idx="51">
                  <c:v>1154.5477636409819</c:v>
                </c:pt>
                <c:pt idx="52">
                  <c:v>1136.4669515410492</c:v>
                </c:pt>
                <c:pt idx="53">
                  <c:v>1117.9804800608181</c:v>
                </c:pt>
                <c:pt idx="54">
                  <c:v>1100.4853140234843</c:v>
                </c:pt>
                <c:pt idx="55">
                  <c:v>1087.9498672701163</c:v>
                </c:pt>
                <c:pt idx="56">
                  <c:v>1074.2869420422196</c:v>
                </c:pt>
                <c:pt idx="57">
                  <c:v>1058.6155425933964</c:v>
                </c:pt>
                <c:pt idx="58">
                  <c:v>1041.1135750799056</c:v>
                </c:pt>
                <c:pt idx="59">
                  <c:v>1026.7362109326871</c:v>
                </c:pt>
                <c:pt idx="60">
                  <c:v>1008.5932141848549</c:v>
                </c:pt>
                <c:pt idx="61">
                  <c:v>1000.5803365952253</c:v>
                </c:pt>
                <c:pt idx="62">
                  <c:v>909.66978986627862</c:v>
                </c:pt>
                <c:pt idx="63">
                  <c:v>846.90498572965089</c:v>
                </c:pt>
                <c:pt idx="64">
                  <c:v>840</c:v>
                </c:pt>
                <c:pt idx="65">
                  <c:v>820</c:v>
                </c:pt>
                <c:pt idx="66">
                  <c:v>800</c:v>
                </c:pt>
                <c:pt idx="67">
                  <c:v>780</c:v>
                </c:pt>
                <c:pt idx="68">
                  <c:v>760</c:v>
                </c:pt>
                <c:pt idx="69">
                  <c:v>740</c:v>
                </c:pt>
                <c:pt idx="70">
                  <c:v>720</c:v>
                </c:pt>
                <c:pt idx="71">
                  <c:v>700</c:v>
                </c:pt>
                <c:pt idx="72">
                  <c:v>680</c:v>
                </c:pt>
                <c:pt idx="73">
                  <c:v>660</c:v>
                </c:pt>
                <c:pt idx="74">
                  <c:v>640</c:v>
                </c:pt>
                <c:pt idx="75">
                  <c:v>620</c:v>
                </c:pt>
                <c:pt idx="76">
                  <c:v>600</c:v>
                </c:pt>
                <c:pt idx="77">
                  <c:v>580</c:v>
                </c:pt>
                <c:pt idx="78">
                  <c:v>560</c:v>
                </c:pt>
                <c:pt idx="79">
                  <c:v>540</c:v>
                </c:pt>
                <c:pt idx="80">
                  <c:v>520</c:v>
                </c:pt>
                <c:pt idx="81">
                  <c:v>500</c:v>
                </c:pt>
                <c:pt idx="82">
                  <c:v>480</c:v>
                </c:pt>
                <c:pt idx="83">
                  <c:v>460</c:v>
                </c:pt>
                <c:pt idx="84">
                  <c:v>440</c:v>
                </c:pt>
                <c:pt idx="85">
                  <c:v>420</c:v>
                </c:pt>
                <c:pt idx="86">
                  <c:v>400</c:v>
                </c:pt>
                <c:pt idx="87">
                  <c:v>380</c:v>
                </c:pt>
                <c:pt idx="88">
                  <c:v>360</c:v>
                </c:pt>
                <c:pt idx="89">
                  <c:v>340</c:v>
                </c:pt>
                <c:pt idx="90">
                  <c:v>320</c:v>
                </c:pt>
                <c:pt idx="91">
                  <c:v>300</c:v>
                </c:pt>
              </c:numCache>
            </c:numRef>
          </c:xVal>
          <c:yVal>
            <c:numRef>
              <c:f>'dmu=dmu0+dmu(p)'!$I$3:$I$94</c:f>
              <c:numCache>
                <c:formatCode>0.00E+00</c:formatCode>
                <c:ptCount val="92"/>
                <c:pt idx="0">
                  <c:v>-0.66569855223339958</c:v>
                </c:pt>
                <c:pt idx="1">
                  <c:v>-0.62911043487895246</c:v>
                </c:pt>
                <c:pt idx="2">
                  <c:v>-0.58064159723331787</c:v>
                </c:pt>
                <c:pt idx="3">
                  <c:v>-0.53946272995406386</c:v>
                </c:pt>
                <c:pt idx="4">
                  <c:v>-0.47879116810082523</c:v>
                </c:pt>
                <c:pt idx="5">
                  <c:v>-0.44105933411446407</c:v>
                </c:pt>
                <c:pt idx="6">
                  <c:v>-0.37889182752562872</c:v>
                </c:pt>
                <c:pt idx="7">
                  <c:v>-0.31651361241914039</c:v>
                </c:pt>
                <c:pt idx="8">
                  <c:v>-0.23533385042037536</c:v>
                </c:pt>
                <c:pt idx="9">
                  <c:v>-0.16304986013341211</c:v>
                </c:pt>
                <c:pt idx="10">
                  <c:v>-8.6266760737287562E-2</c:v>
                </c:pt>
                <c:pt idx="11">
                  <c:v>-4.2727503880944928E-3</c:v>
                </c:pt>
                <c:pt idx="12">
                  <c:v>7.9117186803980166E-2</c:v>
                </c:pt>
                <c:pt idx="13">
                  <c:v>0.1977671984004204</c:v>
                </c:pt>
                <c:pt idx="14">
                  <c:v>0.25060450110554616</c:v>
                </c:pt>
                <c:pt idx="15">
                  <c:v>0.29221198030194567</c:v>
                </c:pt>
                <c:pt idx="16">
                  <c:v>0.33123856754759645</c:v>
                </c:pt>
                <c:pt idx="17">
                  <c:v>0.34761387965103291</c:v>
                </c:pt>
                <c:pt idx="18">
                  <c:v>0.37056733991331831</c:v>
                </c:pt>
                <c:pt idx="19">
                  <c:v>0.39078959604736002</c:v>
                </c:pt>
                <c:pt idx="20">
                  <c:v>0.40462939444784268</c:v>
                </c:pt>
                <c:pt idx="21">
                  <c:v>0.42869786024488415</c:v>
                </c:pt>
                <c:pt idx="22">
                  <c:v>0.46167651512204316</c:v>
                </c:pt>
                <c:pt idx="23">
                  <c:v>0.49052035256095788</c:v>
                </c:pt>
                <c:pt idx="24">
                  <c:v>0.51509347428572183</c:v>
                </c:pt>
                <c:pt idx="25">
                  <c:v>0.51752109260237877</c:v>
                </c:pt>
                <c:pt idx="26">
                  <c:v>0.55160635789183265</c:v>
                </c:pt>
                <c:pt idx="27">
                  <c:v>0.55414138539384861</c:v>
                </c:pt>
                <c:pt idx="28">
                  <c:v>0.5780561034335614</c:v>
                </c:pt>
                <c:pt idx="29">
                  <c:v>0.55415129431377075</c:v>
                </c:pt>
                <c:pt idx="30">
                  <c:v>0.57886047056755019</c:v>
                </c:pt>
                <c:pt idx="31">
                  <c:v>0.59991790785809718</c:v>
                </c:pt>
                <c:pt idx="32">
                  <c:v>0.59554153128224852</c:v>
                </c:pt>
                <c:pt idx="33">
                  <c:v>0.616214564539173</c:v>
                </c:pt>
                <c:pt idx="34">
                  <c:v>0.61839400915121856</c:v>
                </c:pt>
                <c:pt idx="35">
                  <c:v>0.63434836666821037</c:v>
                </c:pt>
                <c:pt idx="36">
                  <c:v>0.62951681572493401</c:v>
                </c:pt>
                <c:pt idx="37">
                  <c:v>0.63215638555034803</c:v>
                </c:pt>
                <c:pt idx="38">
                  <c:v>0.64668346059066062</c:v>
                </c:pt>
                <c:pt idx="39">
                  <c:v>0.64848365961258447</c:v>
                </c:pt>
                <c:pt idx="40">
                  <c:v>0.65379616395994966</c:v>
                </c:pt>
                <c:pt idx="41">
                  <c:v>0.65122911672316364</c:v>
                </c:pt>
                <c:pt idx="42">
                  <c:v>0.66307272341140555</c:v>
                </c:pt>
                <c:pt idx="43">
                  <c:v>0.66531539177397025</c:v>
                </c:pt>
                <c:pt idx="44">
                  <c:v>0.66993767922171688</c:v>
                </c:pt>
                <c:pt idx="45">
                  <c:v>0.66797100076226634</c:v>
                </c:pt>
                <c:pt idx="46">
                  <c:v>0.65729726657681686</c:v>
                </c:pt>
                <c:pt idx="47">
                  <c:v>0.64116734019569299</c:v>
                </c:pt>
                <c:pt idx="48">
                  <c:v>0.60822284737817522</c:v>
                </c:pt>
                <c:pt idx="49">
                  <c:v>0.56554849380420058</c:v>
                </c:pt>
                <c:pt idx="50">
                  <c:v>0.48689432562175711</c:v>
                </c:pt>
                <c:pt idx="51">
                  <c:v>0.46641240170292647</c:v>
                </c:pt>
                <c:pt idx="52">
                  <c:v>0.43870272250728742</c:v>
                </c:pt>
                <c:pt idx="53">
                  <c:v>0.411184602246289</c:v>
                </c:pt>
                <c:pt idx="54">
                  <c:v>0.38242310116396466</c:v>
                </c:pt>
                <c:pt idx="55">
                  <c:v>0.36251837478337728</c:v>
                </c:pt>
                <c:pt idx="56">
                  <c:v>0.34214619034264465</c:v>
                </c:pt>
                <c:pt idx="57">
                  <c:v>0.31584328714810878</c:v>
                </c:pt>
                <c:pt idx="58">
                  <c:v>0.28856007254216914</c:v>
                </c:pt>
                <c:pt idx="59">
                  <c:v>0.26530098595638768</c:v>
                </c:pt>
                <c:pt idx="60">
                  <c:v>0.23645901307171541</c:v>
                </c:pt>
                <c:pt idx="61">
                  <c:v>0.22460157379217177</c:v>
                </c:pt>
                <c:pt idx="62">
                  <c:v>7.5458669509481324E-2</c:v>
                </c:pt>
                <c:pt idx="63">
                  <c:v>-2.6154530590541125E-2</c:v>
                </c:pt>
                <c:pt idx="64">
                  <c:v>-3.5430783925828935E-2</c:v>
                </c:pt>
                <c:pt idx="65">
                  <c:v>-6.5446905396424782E-2</c:v>
                </c:pt>
                <c:pt idx="66">
                  <c:v>-9.4910223025993945E-2</c:v>
                </c:pt>
                <c:pt idx="67">
                  <c:v>-0.12380691387332993</c:v>
                </c:pt>
                <c:pt idx="68">
                  <c:v>-0.15212244590102947</c:v>
                </c:pt>
                <c:pt idx="69">
                  <c:v>-0.17984152196931402</c:v>
                </c:pt>
                <c:pt idx="70">
                  <c:v>-0.20694801777162469</c:v>
                </c:pt>
                <c:pt idx="71">
                  <c:v>-0.23342491286996181</c:v>
                </c:pt>
                <c:pt idx="72">
                  <c:v>-0.25925421384346581</c:v>
                </c:pt>
                <c:pt idx="73">
                  <c:v>-0.28441686838948399</c:v>
                </c:pt>
                <c:pt idx="74">
                  <c:v>-0.30889266900511331</c:v>
                </c:pt>
                <c:pt idx="75">
                  <c:v>-0.3326601446196884</c:v>
                </c:pt>
                <c:pt idx="76">
                  <c:v>-0.355696438232942</c:v>
                </c:pt>
                <c:pt idx="77" formatCode="General">
                  <c:v>-0.34044489132750999</c:v>
                </c:pt>
                <c:pt idx="78" formatCode="General">
                  <c:v>-0.326027683849267</c:v>
                </c:pt>
                <c:pt idx="79" formatCode="General">
                  <c:v>-0.311826054592442</c:v>
                </c:pt>
                <c:pt idx="80" formatCode="General">
                  <c:v>-0.29784608980362198</c:v>
                </c:pt>
                <c:pt idx="81" formatCode="General">
                  <c:v>-0.28409434739112199</c:v>
                </c:pt>
                <c:pt idx="82" formatCode="General">
                  <c:v>-0.27057791411784599</c:v>
                </c:pt>
                <c:pt idx="83" formatCode="General">
                  <c:v>-0.25730447245812998</c:v>
                </c:pt>
                <c:pt idx="84" formatCode="General">
                  <c:v>-0.244282379256199</c:v>
                </c:pt>
                <c:pt idx="85" formatCode="General">
                  <c:v>-0.231520758919459</c:v>
                </c:pt>
                <c:pt idx="86" formatCode="General">
                  <c:v>-0.21902961467907101</c:v>
                </c:pt>
                <c:pt idx="87" formatCode="General">
                  <c:v>-0.20681996253714999</c:v>
                </c:pt>
                <c:pt idx="88" formatCode="General">
                  <c:v>-0.19490399401970401</c:v>
                </c:pt>
                <c:pt idx="89" formatCode="General">
                  <c:v>-0.183295275957333</c:v>
                </c:pt>
                <c:pt idx="90" formatCode="General">
                  <c:v>-0.172008998517172</c:v>
                </c:pt>
                <c:pt idx="91" formatCode="General">
                  <c:v>-0.16106228707915399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42-48D3-9F48-B113B462E622}"/>
            </c:ext>
          </c:extLst>
        </c:ser>
        <c:ser>
          <c:idx val="1"/>
          <c:order val="1"/>
          <c:tx>
            <c:strRef>
              <c:f>'dmu=dmu0+dmu(p)'!$Z$2</c:f>
              <c:strCache>
                <c:ptCount val="1"/>
                <c:pt idx="0">
                  <c:v>dmu_Te = dmu0_Te(720) + kBTln(P_Te/P_ref)/2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'dmu=dmu0+dmu(p)'!$V$3:$V$83</c:f>
              <c:numCache>
                <c:formatCode>General</c:formatCode>
                <c:ptCount val="81"/>
                <c:pt idx="0">
                  <c:v>1238.604835513278</c:v>
                </c:pt>
                <c:pt idx="1">
                  <c:v>1268.1343207872578</c:v>
                </c:pt>
                <c:pt idx="2">
                  <c:v>1279.2795097800918</c:v>
                </c:pt>
                <c:pt idx="3">
                  <c:v>1296.6804979253111</c:v>
                </c:pt>
                <c:pt idx="4">
                  <c:v>1310.9596224436286</c:v>
                </c:pt>
                <c:pt idx="5">
                  <c:v>1326.0489046836046</c:v>
                </c:pt>
                <c:pt idx="6">
                  <c:v>1339.4411851375605</c:v>
                </c:pt>
                <c:pt idx="7">
                  <c:v>1351.8811426099417</c:v>
                </c:pt>
                <c:pt idx="8">
                  <c:v>1358.547983914792</c:v>
                </c:pt>
                <c:pt idx="9">
                  <c:v>1361.8968499325861</c:v>
                </c:pt>
                <c:pt idx="10">
                  <c:v>1367.9890560875513</c:v>
                </c:pt>
                <c:pt idx="11">
                  <c:v>1366.1202185792349</c:v>
                </c:pt>
                <c:pt idx="12">
                  <c:v>1364.5543365536814</c:v>
                </c:pt>
                <c:pt idx="13">
                  <c:v>1362.60202482661</c:v>
                </c:pt>
                <c:pt idx="14">
                  <c:v>1360.5442176870749</c:v>
                </c:pt>
                <c:pt idx="15">
                  <c:v>1358.547983914792</c:v>
                </c:pt>
                <c:pt idx="16">
                  <c:v>1355.9138181177204</c:v>
                </c:pt>
                <c:pt idx="17">
                  <c:v>1351.3696131028796</c:v>
                </c:pt>
                <c:pt idx="18">
                  <c:v>1351.3513513513515</c:v>
                </c:pt>
                <c:pt idx="19">
                  <c:v>1349.2727419920661</c:v>
                </c:pt>
                <c:pt idx="20">
                  <c:v>1346.6743875998222</c:v>
                </c:pt>
                <c:pt idx="21">
                  <c:v>1336.8983957219252</c:v>
                </c:pt>
                <c:pt idx="22">
                  <c:v>1335.6841374151841</c:v>
                </c:pt>
                <c:pt idx="23">
                  <c:v>1324.5033112582782</c:v>
                </c:pt>
                <c:pt idx="24">
                  <c:v>1324.047347933162</c:v>
                </c:pt>
                <c:pt idx="25">
                  <c:v>1315.7894736842104</c:v>
                </c:pt>
                <c:pt idx="26">
                  <c:v>1315.2356902356903</c:v>
                </c:pt>
                <c:pt idx="27">
                  <c:v>1312.11210685841</c:v>
                </c:pt>
                <c:pt idx="28">
                  <c:v>1308.9005235602094</c:v>
                </c:pt>
                <c:pt idx="29">
                  <c:v>1298.7012987012986</c:v>
                </c:pt>
                <c:pt idx="30">
                  <c:v>1298.6169729238361</c:v>
                </c:pt>
                <c:pt idx="31">
                  <c:v>1282.051282051282</c:v>
                </c:pt>
                <c:pt idx="32">
                  <c:v>1282.2485510591373</c:v>
                </c:pt>
                <c:pt idx="33">
                  <c:v>1265.8227848101264</c:v>
                </c:pt>
                <c:pt idx="34">
                  <c:v>1253.2741787920943</c:v>
                </c:pt>
                <c:pt idx="35">
                  <c:v>1250</c:v>
                </c:pt>
                <c:pt idx="36">
                  <c:v>1234.6593574832705</c:v>
                </c:pt>
                <c:pt idx="37">
                  <c:v>1234.5679012345679</c:v>
                </c:pt>
                <c:pt idx="38">
                  <c:v>1204.8192771084339</c:v>
                </c:pt>
                <c:pt idx="39">
                  <c:v>1202.5012025012024</c:v>
                </c:pt>
                <c:pt idx="40">
                  <c:v>1176.8444094006331</c:v>
                </c:pt>
                <c:pt idx="41">
                  <c:v>1176.4705882352941</c:v>
                </c:pt>
                <c:pt idx="42">
                  <c:v>1135.2928487903455</c:v>
                </c:pt>
                <c:pt idx="43">
                  <c:v>1111.1111111111111</c:v>
                </c:pt>
                <c:pt idx="44">
                  <c:v>1110.1489819933836</c:v>
                </c:pt>
                <c:pt idx="45">
                  <c:v>1052.6315789473686</c:v>
                </c:pt>
                <c:pt idx="46">
                  <c:v>1051.4583727630222</c:v>
                </c:pt>
                <c:pt idx="47">
                  <c:v>1000</c:v>
                </c:pt>
                <c:pt idx="48">
                  <c:v>999.70008997300818</c:v>
                </c:pt>
                <c:pt idx="49">
                  <c:v>970.53457044139918</c:v>
                </c:pt>
                <c:pt idx="50">
                  <c:v>952.38095238095229</c:v>
                </c:pt>
                <c:pt idx="51">
                  <c:v>934.57943925233644</c:v>
                </c:pt>
                <c:pt idx="52">
                  <c:v>925.70307148279119</c:v>
                </c:pt>
                <c:pt idx="53">
                  <c:v>833.25695144611745</c:v>
                </c:pt>
                <c:pt idx="54">
                  <c:v>820</c:v>
                </c:pt>
                <c:pt idx="55">
                  <c:v>800</c:v>
                </c:pt>
                <c:pt idx="56">
                  <c:v>780</c:v>
                </c:pt>
                <c:pt idx="57">
                  <c:v>760</c:v>
                </c:pt>
                <c:pt idx="58">
                  <c:v>740</c:v>
                </c:pt>
                <c:pt idx="59">
                  <c:v>720</c:v>
                </c:pt>
                <c:pt idx="60">
                  <c:v>700</c:v>
                </c:pt>
                <c:pt idx="61">
                  <c:v>680</c:v>
                </c:pt>
                <c:pt idx="62">
                  <c:v>660</c:v>
                </c:pt>
                <c:pt idx="63">
                  <c:v>640</c:v>
                </c:pt>
                <c:pt idx="64">
                  <c:v>620</c:v>
                </c:pt>
                <c:pt idx="65">
                  <c:v>600</c:v>
                </c:pt>
                <c:pt idx="66">
                  <c:v>580</c:v>
                </c:pt>
                <c:pt idx="67">
                  <c:v>560</c:v>
                </c:pt>
                <c:pt idx="68">
                  <c:v>540</c:v>
                </c:pt>
                <c:pt idx="69">
                  <c:v>520</c:v>
                </c:pt>
                <c:pt idx="70">
                  <c:v>500</c:v>
                </c:pt>
                <c:pt idx="71">
                  <c:v>480</c:v>
                </c:pt>
                <c:pt idx="72">
                  <c:v>460</c:v>
                </c:pt>
                <c:pt idx="73">
                  <c:v>440</c:v>
                </c:pt>
                <c:pt idx="74">
                  <c:v>420</c:v>
                </c:pt>
                <c:pt idx="75">
                  <c:v>400</c:v>
                </c:pt>
                <c:pt idx="76">
                  <c:v>380</c:v>
                </c:pt>
                <c:pt idx="77">
                  <c:v>360</c:v>
                </c:pt>
                <c:pt idx="78">
                  <c:v>340</c:v>
                </c:pt>
                <c:pt idx="79">
                  <c:v>320</c:v>
                </c:pt>
                <c:pt idx="80">
                  <c:v>300</c:v>
                </c:pt>
              </c:numCache>
            </c:numRef>
          </c:xVal>
          <c:yVal>
            <c:numRef>
              <c:f>'dmu=dmu0+dmu(p)'!$Z$3:$Z$83</c:f>
              <c:numCache>
                <c:formatCode>0.00E+00</c:formatCode>
                <c:ptCount val="81"/>
                <c:pt idx="0">
                  <c:v>-0.72079164568378551</c:v>
                </c:pt>
                <c:pt idx="1">
                  <c:v>-0.67276707766107702</c:v>
                </c:pt>
                <c:pt idx="2">
                  <c:v>-0.65097640711483074</c:v>
                </c:pt>
                <c:pt idx="3">
                  <c:v>-0.61738948797865412</c:v>
                </c:pt>
                <c:pt idx="4">
                  <c:v>-0.5828912812301863</c:v>
                </c:pt>
                <c:pt idx="5">
                  <c:v>-0.54450778679604972</c:v>
                </c:pt>
                <c:pt idx="6">
                  <c:v>-0.49735169819586128</c:v>
                </c:pt>
                <c:pt idx="7">
                  <c:v>-0.44552734765187607</c:v>
                </c:pt>
                <c:pt idx="8">
                  <c:v>-0.39125367113577775</c:v>
                </c:pt>
                <c:pt idx="9">
                  <c:v>-0.34988353758185592</c:v>
                </c:pt>
                <c:pt idx="10">
                  <c:v>-0.26029248931812482</c:v>
                </c:pt>
                <c:pt idx="11">
                  <c:v>-0.24908971193847138</c:v>
                </c:pt>
                <c:pt idx="12">
                  <c:v>-0.30465078622526776</c:v>
                </c:pt>
                <c:pt idx="13">
                  <c:v>-0.25910537094981817</c:v>
                </c:pt>
                <c:pt idx="14">
                  <c:v>-0.21651332090817751</c:v>
                </c:pt>
                <c:pt idx="15">
                  <c:v>-0.22095850283369128</c:v>
                </c:pt>
                <c:pt idx="16">
                  <c:v>-0.20819188035858543</c:v>
                </c:pt>
                <c:pt idx="17">
                  <c:v>-0.18797506991339255</c:v>
                </c:pt>
                <c:pt idx="18">
                  <c:v>-0.18004335436259633</c:v>
                </c:pt>
                <c:pt idx="19">
                  <c:v>-0.17961012392503325</c:v>
                </c:pt>
                <c:pt idx="20">
                  <c:v>-0.17503677153323377</c:v>
                </c:pt>
                <c:pt idx="21">
                  <c:v>-0.1479785102335473</c:v>
                </c:pt>
                <c:pt idx="22">
                  <c:v>-0.14932461476162812</c:v>
                </c:pt>
                <c:pt idx="23">
                  <c:v>-0.13019349006926656</c:v>
                </c:pt>
                <c:pt idx="24">
                  <c:v>-0.13210786023508153</c:v>
                </c:pt>
                <c:pt idx="25">
                  <c:v>-0.11948329176569189</c:v>
                </c:pt>
                <c:pt idx="26">
                  <c:v>-0.12308154567816132</c:v>
                </c:pt>
                <c:pt idx="27">
                  <c:v>-0.11441345172089357</c:v>
                </c:pt>
                <c:pt idx="28">
                  <c:v>-0.11206872484325392</c:v>
                </c:pt>
                <c:pt idx="29">
                  <c:v>-0.10624680097310318</c:v>
                </c:pt>
                <c:pt idx="30">
                  <c:v>-0.10831852589460556</c:v>
                </c:pt>
                <c:pt idx="31">
                  <c:v>-9.9102315812791164E-2</c:v>
                </c:pt>
                <c:pt idx="32">
                  <c:v>-0.1024842291802503</c:v>
                </c:pt>
                <c:pt idx="33">
                  <c:v>-9.4017121755094135E-2</c:v>
                </c:pt>
                <c:pt idx="34">
                  <c:v>-9.6753383696170592E-2</c:v>
                </c:pt>
                <c:pt idx="35">
                  <c:v>-9.3956583085382905E-2</c:v>
                </c:pt>
                <c:pt idx="36">
                  <c:v>-9.3638842027374991E-2</c:v>
                </c:pt>
                <c:pt idx="37">
                  <c:v>-9.1779379843278441E-2</c:v>
                </c:pt>
                <c:pt idx="38">
                  <c:v>-9.7553214719446779E-2</c:v>
                </c:pt>
                <c:pt idx="39">
                  <c:v>-9.919950887861706E-2</c:v>
                </c:pt>
                <c:pt idx="40">
                  <c:v>-0.10775536374389472</c:v>
                </c:pt>
                <c:pt idx="41">
                  <c:v>-0.1052595233048822</c:v>
                </c:pt>
                <c:pt idx="42">
                  <c:v>-0.12688697680437133</c:v>
                </c:pt>
                <c:pt idx="43">
                  <c:v>-0.13888055492075668</c:v>
                </c:pt>
                <c:pt idx="44">
                  <c:v>-0.14218832125220543</c:v>
                </c:pt>
                <c:pt idx="45">
                  <c:v>-0.17655403259930824</c:v>
                </c:pt>
                <c:pt idx="46">
                  <c:v>-0.17881230142030746</c:v>
                </c:pt>
                <c:pt idx="47">
                  <c:v>-0.21388638165001306</c:v>
                </c:pt>
                <c:pt idx="48">
                  <c:v>-0.21613338339144353</c:v>
                </c:pt>
                <c:pt idx="49">
                  <c:v>-0.23859241101624107</c:v>
                </c:pt>
                <c:pt idx="50">
                  <c:v>-0.24735416510201208</c:v>
                </c:pt>
                <c:pt idx="51">
                  <c:v>-0.26778447884216372</c:v>
                </c:pt>
                <c:pt idx="52">
                  <c:v>-0.27054007341741237</c:v>
                </c:pt>
                <c:pt idx="53">
                  <c:v>-0.34458347961505292</c:v>
                </c:pt>
                <c:pt idx="54">
                  <c:v>-0.35477183812287361</c:v>
                </c:pt>
                <c:pt idx="55">
                  <c:v>-0.36950836591893249</c:v>
                </c:pt>
                <c:pt idx="56">
                  <c:v>-0.3839152591230458</c:v>
                </c:pt>
                <c:pt idx="57">
                  <c:v>-0.39798406373626799</c:v>
                </c:pt>
                <c:pt idx="58">
                  <c:v>-0.41170588066207386</c:v>
                </c:pt>
                <c:pt idx="59">
                  <c:v>-0.42507132960045002</c:v>
                </c:pt>
                <c:pt idx="60" formatCode="General">
                  <c:v>-0.41010169870393798</c:v>
                </c:pt>
                <c:pt idx="61" formatCode="General">
                  <c:v>-0.395299548761262</c:v>
                </c:pt>
                <c:pt idx="62" formatCode="General">
                  <c:v>-0.38066814753349298</c:v>
                </c:pt>
                <c:pt idx="63" formatCode="General">
                  <c:v>-0.36621109704362897</c:v>
                </c:pt>
                <c:pt idx="64" formatCode="General">
                  <c:v>-0.35193236205732997</c:v>
                </c:pt>
                <c:pt idx="65" formatCode="General">
                  <c:v>-0.33783630175450402</c:v>
                </c:pt>
                <c:pt idx="66" formatCode="General">
                  <c:v>-0.32392770502162799</c:v>
                </c:pt>
                <c:pt idx="67" formatCode="General">
                  <c:v>-0.31021182985768098</c:v>
                </c:pt>
                <c:pt idx="68" formatCode="General">
                  <c:v>-0.29669444745743301</c:v>
                </c:pt>
                <c:pt idx="69" formatCode="General">
                  <c:v>-0.28338189161424399</c:v>
                </c:pt>
                <c:pt idx="70" formatCode="General">
                  <c:v>-0.270281114168619</c:v>
                </c:pt>
                <c:pt idx="71" formatCode="General">
                  <c:v>-0.25739974731470699</c:v>
                </c:pt>
                <c:pt idx="72" formatCode="General">
                  <c:v>-0.244746173656329</c:v>
                </c:pt>
                <c:pt idx="73" formatCode="General">
                  <c:v>-0.2323296049618</c:v>
                </c:pt>
                <c:pt idx="74" formatCode="General">
                  <c:v>-0.220160170574415</c:v>
                </c:pt>
                <c:pt idx="75" formatCode="General">
                  <c:v>-0.20824901634238699</c:v>
                </c:pt>
                <c:pt idx="76" formatCode="General">
                  <c:v>-0.19660841464788201</c:v>
                </c:pt>
                <c:pt idx="77" formatCode="General">
                  <c:v>-0.18525188547707</c:v>
                </c:pt>
                <c:pt idx="78" formatCode="General">
                  <c:v>-0.17419432718917099</c:v>
                </c:pt>
                <c:pt idx="79" formatCode="General">
                  <c:v>-0.163452153176114</c:v>
                </c:pt>
                <c:pt idx="80" formatCode="General">
                  <c:v>-0.153043425958098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42-48D3-9F48-B113B462E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1809488"/>
        <c:axId val="1181811888"/>
      </c:scatterChart>
      <c:valAx>
        <c:axId val="118180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11888"/>
        <c:crosses val="autoZero"/>
        <c:crossBetween val="midCat"/>
      </c:valAx>
      <c:valAx>
        <c:axId val="118181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09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if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310935</xdr:colOff>
      <xdr:row>1</xdr:row>
      <xdr:rowOff>112781</xdr:rowOff>
    </xdr:from>
    <xdr:to>
      <xdr:col>23</xdr:col>
      <xdr:colOff>412749</xdr:colOff>
      <xdr:row>22</xdr:row>
      <xdr:rowOff>177385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2E754F-75E5-48F0-8198-496229249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4135" y="296931"/>
          <a:ext cx="3759414" cy="3931754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</xdr:colOff>
      <xdr:row>0</xdr:row>
      <xdr:rowOff>95250</xdr:rowOff>
    </xdr:from>
    <xdr:to>
      <xdr:col>17</xdr:col>
      <xdr:colOff>273050</xdr:colOff>
      <xdr:row>25</xdr:row>
      <xdr:rowOff>30421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F8A792-FBE3-40B5-9271-07F53795C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2200" y="95250"/>
          <a:ext cx="5734050" cy="45389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346075</xdr:colOff>
      <xdr:row>2</xdr:row>
      <xdr:rowOff>19050</xdr:rowOff>
    </xdr:from>
    <xdr:to>
      <xdr:col>15</xdr:col>
      <xdr:colOff>41275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82FFB-73DE-B9CA-9675-284E808D2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98425</xdr:colOff>
      <xdr:row>2</xdr:row>
      <xdr:rowOff>12700</xdr:rowOff>
    </xdr:from>
    <xdr:to>
      <xdr:col>22</xdr:col>
      <xdr:colOff>403225</xdr:colOff>
      <xdr:row>16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70625F-E156-64FB-5296-64F5E514B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546100</xdr:colOff>
      <xdr:row>17</xdr:row>
      <xdr:rowOff>31750</xdr:rowOff>
    </xdr:from>
    <xdr:to>
      <xdr:col>17</xdr:col>
      <xdr:colOff>14638</xdr:colOff>
      <xdr:row>36</xdr:row>
      <xdr:rowOff>109310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374BF5-F9D1-411B-A4B8-0A881229C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2500" y="3162300"/>
          <a:ext cx="4345338" cy="35764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336550</xdr:colOff>
      <xdr:row>5</xdr:row>
      <xdr:rowOff>12700</xdr:rowOff>
    </xdr:from>
    <xdr:to>
      <xdr:col>20</xdr:col>
      <xdr:colOff>996949</xdr:colOff>
      <xdr:row>32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7BA59F-6A85-7258-036E-37C187F91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C24B-ED09-47F0-8C57-526A9B5A3CF0}">
  <dimension ref="B2:G20"/>
  <sheetViews>
    <sheetView workbookViewId="0">
      <selection activeCell="L30" sqref="L30"/>
    </sheetView>
  </sheetViews>
  <sheetFormatPr defaultRowHeight="14.5" x14ac:dyDescent="0.35"/>
  <sheetData>
    <row r="2" spans="2:7" x14ac:dyDescent="0.35">
      <c r="C2" t="s">
        <v>3</v>
      </c>
    </row>
    <row r="3" spans="2:7" x14ac:dyDescent="0.35">
      <c r="B3" t="s">
        <v>4</v>
      </c>
      <c r="F3" t="s">
        <v>5</v>
      </c>
    </row>
    <row r="4" spans="2:7" x14ac:dyDescent="0.35">
      <c r="B4" t="s">
        <v>6</v>
      </c>
      <c r="C4" t="s">
        <v>7</v>
      </c>
      <c r="E4" t="s">
        <v>8</v>
      </c>
      <c r="F4" t="s">
        <v>9</v>
      </c>
      <c r="G4" t="s">
        <v>10</v>
      </c>
    </row>
    <row r="5" spans="2:7" x14ac:dyDescent="0.35">
      <c r="B5">
        <v>55</v>
      </c>
      <c r="C5">
        <v>1036</v>
      </c>
      <c r="E5">
        <v>0</v>
      </c>
      <c r="F5">
        <v>320.89999999999998</v>
      </c>
      <c r="G5">
        <f>F5+273</f>
        <v>593.9</v>
      </c>
    </row>
    <row r="6" spans="2:7" x14ac:dyDescent="0.35">
      <c r="B6">
        <v>60</v>
      </c>
      <c r="C6">
        <v>980</v>
      </c>
      <c r="E6">
        <v>5.0209999999999999</v>
      </c>
      <c r="F6">
        <v>850</v>
      </c>
      <c r="G6">
        <f t="shared" ref="G6:G20" si="0">F6+273</f>
        <v>1123</v>
      </c>
    </row>
    <row r="7" spans="2:7" x14ac:dyDescent="0.35">
      <c r="B7">
        <v>65</v>
      </c>
      <c r="C7">
        <v>929</v>
      </c>
      <c r="E7">
        <v>15.000999999999999</v>
      </c>
      <c r="F7">
        <v>925</v>
      </c>
      <c r="G7">
        <f t="shared" si="0"/>
        <v>1198</v>
      </c>
    </row>
    <row r="8" spans="2:7" x14ac:dyDescent="0.35">
      <c r="E8">
        <v>25</v>
      </c>
      <c r="F8">
        <v>972</v>
      </c>
      <c r="G8">
        <f t="shared" si="0"/>
        <v>1245</v>
      </c>
    </row>
    <row r="9" spans="2:7" x14ac:dyDescent="0.35">
      <c r="E9">
        <v>34.985999999999997</v>
      </c>
      <c r="F9">
        <v>1010</v>
      </c>
      <c r="G9">
        <f t="shared" si="0"/>
        <v>1283</v>
      </c>
    </row>
    <row r="10" spans="2:7" x14ac:dyDescent="0.35">
      <c r="E10">
        <v>42.493000000000002</v>
      </c>
      <c r="F10">
        <v>1044</v>
      </c>
      <c r="G10">
        <f t="shared" si="0"/>
        <v>1317</v>
      </c>
    </row>
    <row r="11" spans="2:7" x14ac:dyDescent="0.35">
      <c r="E11">
        <v>47.456000000000003</v>
      </c>
      <c r="F11">
        <v>1077</v>
      </c>
      <c r="G11">
        <f t="shared" si="0"/>
        <v>1350</v>
      </c>
    </row>
    <row r="12" spans="2:7" x14ac:dyDescent="0.35">
      <c r="E12">
        <v>50.088999999999999</v>
      </c>
      <c r="F12">
        <v>1092</v>
      </c>
      <c r="G12">
        <f t="shared" si="0"/>
        <v>1365</v>
      </c>
    </row>
    <row r="13" spans="2:7" x14ac:dyDescent="0.35">
      <c r="E13">
        <v>51.996000000000002</v>
      </c>
      <c r="F13">
        <v>1074</v>
      </c>
      <c r="G13">
        <f t="shared" si="0"/>
        <v>1347</v>
      </c>
    </row>
    <row r="14" spans="2:7" x14ac:dyDescent="0.35">
      <c r="E14">
        <v>54.994</v>
      </c>
      <c r="F14">
        <v>1042</v>
      </c>
      <c r="G14">
        <f t="shared" si="0"/>
        <v>1315</v>
      </c>
    </row>
    <row r="15" spans="2:7" x14ac:dyDescent="0.35">
      <c r="E15">
        <v>60</v>
      </c>
      <c r="F15">
        <v>977</v>
      </c>
      <c r="G15">
        <f t="shared" si="0"/>
        <v>1250</v>
      </c>
    </row>
    <row r="16" spans="2:7" x14ac:dyDescent="0.35">
      <c r="E16">
        <v>65.234999999999999</v>
      </c>
      <c r="F16">
        <v>925</v>
      </c>
      <c r="G16">
        <f t="shared" si="0"/>
        <v>1198</v>
      </c>
    </row>
    <row r="17" spans="5:7" x14ac:dyDescent="0.35">
      <c r="E17">
        <v>72.25</v>
      </c>
      <c r="F17">
        <v>875</v>
      </c>
      <c r="G17">
        <f t="shared" si="0"/>
        <v>1148</v>
      </c>
    </row>
    <row r="18" spans="5:7" x14ac:dyDescent="0.35">
      <c r="E18">
        <v>80</v>
      </c>
      <c r="F18">
        <v>815</v>
      </c>
      <c r="G18">
        <f t="shared" si="0"/>
        <v>1088</v>
      </c>
    </row>
    <row r="19" spans="5:7" x14ac:dyDescent="0.35">
      <c r="E19">
        <v>89.989000000000004</v>
      </c>
      <c r="F19">
        <v>704</v>
      </c>
      <c r="G19">
        <f t="shared" si="0"/>
        <v>977</v>
      </c>
    </row>
    <row r="20" spans="5:7" x14ac:dyDescent="0.35">
      <c r="E20">
        <v>100</v>
      </c>
      <c r="F20">
        <v>450</v>
      </c>
      <c r="G20">
        <f t="shared" si="0"/>
        <v>723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3177-A1A1-4AAA-BC44-11FF9EE77335}">
  <dimension ref="A1:G35"/>
  <sheetViews>
    <sheetView workbookViewId="0">
      <selection activeCell="A2" sqref="A2"/>
    </sheetView>
  </sheetViews>
  <sheetFormatPr defaultRowHeight="14.5" x14ac:dyDescent="0.35"/>
  <sheetData>
    <row r="1" spans="1:7" x14ac:dyDescent="0.35">
      <c r="A1" t="s">
        <v>28</v>
      </c>
    </row>
    <row r="2" spans="1:7" x14ac:dyDescent="0.35">
      <c r="C2" t="s">
        <v>0</v>
      </c>
      <c r="D2" t="s">
        <v>1</v>
      </c>
      <c r="F2" t="s">
        <v>2</v>
      </c>
      <c r="G2" t="s">
        <v>1</v>
      </c>
    </row>
    <row r="3" spans="1:7" x14ac:dyDescent="0.35">
      <c r="C3" s="1">
        <v>6620070000000000</v>
      </c>
      <c r="D3">
        <v>309.63952</v>
      </c>
      <c r="F3" s="1">
        <v>4781510000000000</v>
      </c>
      <c r="G3">
        <v>1063.8326099999999</v>
      </c>
    </row>
    <row r="4" spans="1:7" x14ac:dyDescent="0.35">
      <c r="C4" s="1">
        <v>6843190000000000</v>
      </c>
      <c r="D4">
        <v>370.2758</v>
      </c>
      <c r="F4" s="1">
        <v>8163290000000000</v>
      </c>
      <c r="G4">
        <v>1063.8326099999999</v>
      </c>
    </row>
    <row r="5" spans="1:7" x14ac:dyDescent="0.35">
      <c r="C5" s="1">
        <v>7508740000000000</v>
      </c>
      <c r="D5">
        <v>450.65411999999998</v>
      </c>
      <c r="F5" s="1">
        <v>1.34546E+16</v>
      </c>
      <c r="G5">
        <v>1063.8326099999999</v>
      </c>
    </row>
    <row r="6" spans="1:7" x14ac:dyDescent="0.35">
      <c r="C6" s="1">
        <v>8293830000000000</v>
      </c>
      <c r="D6">
        <v>504.94474000000002</v>
      </c>
      <c r="F6" s="1">
        <v>2.9007E+16</v>
      </c>
      <c r="G6">
        <v>1064.77271</v>
      </c>
    </row>
    <row r="7" spans="1:7" x14ac:dyDescent="0.35">
      <c r="C7" s="1">
        <v>8803760000000000</v>
      </c>
      <c r="D7">
        <v>527.27206000000001</v>
      </c>
      <c r="F7" s="1">
        <v>5.16377E+16</v>
      </c>
      <c r="G7">
        <v>1070.8833400000001</v>
      </c>
    </row>
    <row r="8" spans="1:7" x14ac:dyDescent="0.35">
      <c r="C8" s="1">
        <v>1.08603E+16</v>
      </c>
      <c r="D8">
        <v>594.95906000000002</v>
      </c>
      <c r="F8" s="1">
        <v>6.85941E+16</v>
      </c>
      <c r="G8">
        <v>1076.2889</v>
      </c>
    </row>
    <row r="9" spans="1:7" x14ac:dyDescent="0.35">
      <c r="C9" s="1">
        <v>1.41896E+16</v>
      </c>
      <c r="D9">
        <v>642.19894999999997</v>
      </c>
      <c r="F9" s="1">
        <v>8.16222E+16</v>
      </c>
      <c r="G9">
        <v>1078.87417</v>
      </c>
    </row>
    <row r="10" spans="1:7" x14ac:dyDescent="0.35">
      <c r="C10" s="1">
        <v>2.61707E+16</v>
      </c>
      <c r="D10">
        <v>696.48958000000005</v>
      </c>
      <c r="F10" s="1">
        <v>1.10351E+17</v>
      </c>
      <c r="G10">
        <v>1086.1599200000001</v>
      </c>
    </row>
    <row r="11" spans="1:7" x14ac:dyDescent="0.35">
      <c r="C11" s="1">
        <v>4.11681E+16</v>
      </c>
      <c r="D11">
        <v>738.55893000000003</v>
      </c>
      <c r="F11" s="1">
        <v>1.48863E+17</v>
      </c>
      <c r="G11">
        <v>1092.27055</v>
      </c>
    </row>
    <row r="12" spans="1:7" x14ac:dyDescent="0.35">
      <c r="C12" s="1">
        <v>7.09014E+16</v>
      </c>
      <c r="D12">
        <v>790.26427999999999</v>
      </c>
      <c r="F12" s="1">
        <v>1.67284E+17</v>
      </c>
      <c r="G12">
        <v>1078.1690900000001</v>
      </c>
    </row>
    <row r="13" spans="1:7" x14ac:dyDescent="0.35">
      <c r="C13" s="1">
        <v>1.0982E+17</v>
      </c>
      <c r="D13">
        <v>836.56407999999999</v>
      </c>
      <c r="F13" s="1">
        <v>1.77527E+17</v>
      </c>
      <c r="G13">
        <v>1054.9016799999999</v>
      </c>
    </row>
    <row r="14" spans="1:7" x14ac:dyDescent="0.35">
      <c r="C14" s="1">
        <v>1.61315E+17</v>
      </c>
      <c r="D14">
        <v>875.81313999999998</v>
      </c>
      <c r="F14" s="1">
        <v>1.79097E+17</v>
      </c>
      <c r="G14">
        <v>1016.59272</v>
      </c>
    </row>
    <row r="15" spans="1:7" x14ac:dyDescent="0.35">
      <c r="C15" s="1">
        <v>2.6699E+17</v>
      </c>
      <c r="D15">
        <v>934.56922999999995</v>
      </c>
      <c r="F15" s="1">
        <v>1.75971E+17</v>
      </c>
      <c r="G15">
        <v>984.39437999999996</v>
      </c>
    </row>
    <row r="16" spans="1:7" x14ac:dyDescent="0.35">
      <c r="C16" s="1">
        <v>2.89737E+17</v>
      </c>
      <c r="D16">
        <v>961.36199999999997</v>
      </c>
      <c r="F16" s="1">
        <v>1.7328E+17</v>
      </c>
      <c r="G16">
        <v>950.55088000000001</v>
      </c>
    </row>
    <row r="17" spans="3:7" x14ac:dyDescent="0.35">
      <c r="C17" s="1">
        <v>2.94905E+17</v>
      </c>
      <c r="D17">
        <v>986.27458000000001</v>
      </c>
      <c r="F17" s="1">
        <v>1.66183E+17</v>
      </c>
      <c r="G17">
        <v>918.58757000000003</v>
      </c>
    </row>
    <row r="18" spans="3:7" x14ac:dyDescent="0.35">
      <c r="C18" s="1">
        <v>2.71152E+17</v>
      </c>
      <c r="D18">
        <v>1014.71252</v>
      </c>
      <c r="F18" s="1">
        <v>1.56594E+17</v>
      </c>
      <c r="G18">
        <v>880.98368000000005</v>
      </c>
    </row>
    <row r="19" spans="3:7" x14ac:dyDescent="0.35">
      <c r="C19" s="1">
        <v>2.41183E+17</v>
      </c>
      <c r="D19">
        <v>1029.9891</v>
      </c>
      <c r="F19" s="1">
        <v>1.45302E+17</v>
      </c>
      <c r="G19">
        <v>849.02036999999996</v>
      </c>
    </row>
    <row r="20" spans="3:7" x14ac:dyDescent="0.35">
      <c r="C20" s="1">
        <v>2.03895E+17</v>
      </c>
      <c r="D20">
        <v>1045.0306599999999</v>
      </c>
      <c r="F20" s="1">
        <v>1.32471E+17</v>
      </c>
      <c r="G20">
        <v>818.70222999999999</v>
      </c>
    </row>
    <row r="21" spans="3:7" x14ac:dyDescent="0.35">
      <c r="C21" s="1">
        <v>1.57441E+17</v>
      </c>
      <c r="D21">
        <v>1055.84178</v>
      </c>
      <c r="F21" s="1">
        <v>1.18927E+17</v>
      </c>
      <c r="G21">
        <v>788.38409000000001</v>
      </c>
    </row>
    <row r="22" spans="3:7" x14ac:dyDescent="0.35">
      <c r="C22" s="1">
        <v>1.23466E+17</v>
      </c>
      <c r="D22">
        <v>1061.9524100000001</v>
      </c>
      <c r="F22" s="1">
        <v>1.03984E+17</v>
      </c>
      <c r="G22">
        <v>757.12585000000001</v>
      </c>
    </row>
    <row r="23" spans="3:7" x14ac:dyDescent="0.35">
      <c r="C23" s="1">
        <v>9.12146E+16</v>
      </c>
      <c r="D23">
        <v>1063.8326099999999</v>
      </c>
      <c r="F23" s="1">
        <v>9.03198E+16</v>
      </c>
      <c r="G23">
        <v>731.27318000000002</v>
      </c>
    </row>
    <row r="24" spans="3:7" x14ac:dyDescent="0.35">
      <c r="C24" s="1">
        <v>5.4266E+16</v>
      </c>
      <c r="D24">
        <v>1062.8925099999999</v>
      </c>
      <c r="F24" s="1">
        <v>7.32767E+16</v>
      </c>
      <c r="G24">
        <v>702.83523000000002</v>
      </c>
    </row>
    <row r="25" spans="3:7" x14ac:dyDescent="0.35">
      <c r="C25" s="1">
        <v>4.00907E+16</v>
      </c>
      <c r="D25">
        <v>1062.8925099999999</v>
      </c>
      <c r="F25" s="1">
        <v>6.05057E+16</v>
      </c>
      <c r="G25">
        <v>680.50792000000001</v>
      </c>
    </row>
    <row r="26" spans="3:7" x14ac:dyDescent="0.35">
      <c r="C26" s="1">
        <v>2.25193E+16</v>
      </c>
      <c r="D26">
        <v>1062.8925099999999</v>
      </c>
      <c r="F26" s="1">
        <v>5.19798E+16</v>
      </c>
      <c r="G26">
        <v>662.64607000000001</v>
      </c>
    </row>
    <row r="27" spans="3:7" x14ac:dyDescent="0.35">
      <c r="C27" s="1">
        <v>9810580000000000</v>
      </c>
      <c r="D27">
        <v>1062.8925099999999</v>
      </c>
      <c r="F27" s="1">
        <v>4.33002E+16</v>
      </c>
      <c r="G27">
        <v>637.73348999999996</v>
      </c>
    </row>
    <row r="28" spans="3:7" x14ac:dyDescent="0.35">
      <c r="C28" s="1">
        <v>4467150000000000</v>
      </c>
      <c r="D28">
        <v>1062.8925099999999</v>
      </c>
      <c r="F28" s="1">
        <v>3.48216E+16</v>
      </c>
      <c r="G28">
        <v>603.88999000000001</v>
      </c>
    </row>
    <row r="29" spans="3:7" x14ac:dyDescent="0.35">
      <c r="F29" s="1">
        <v>2.95223E+16</v>
      </c>
      <c r="G29">
        <v>571.69164999999998</v>
      </c>
    </row>
    <row r="30" spans="3:7" x14ac:dyDescent="0.35">
      <c r="F30" s="1">
        <v>2.43235E+16</v>
      </c>
      <c r="G30">
        <v>530.79741999999999</v>
      </c>
    </row>
    <row r="31" spans="3:7" x14ac:dyDescent="0.35">
      <c r="F31" s="1">
        <v>2.05765E+16</v>
      </c>
      <c r="G31">
        <v>487.08289000000002</v>
      </c>
    </row>
    <row r="32" spans="3:7" x14ac:dyDescent="0.35">
      <c r="F32" s="1">
        <v>1.83107E+16</v>
      </c>
      <c r="G32">
        <v>453.23939000000001</v>
      </c>
    </row>
    <row r="33" spans="6:7" x14ac:dyDescent="0.35">
      <c r="F33" s="1">
        <v>1.65839E+16</v>
      </c>
      <c r="G33">
        <v>420.33598000000001</v>
      </c>
    </row>
    <row r="34" spans="6:7" x14ac:dyDescent="0.35">
      <c r="F34" s="1">
        <v>1.45002E+16</v>
      </c>
      <c r="G34">
        <v>373.09609</v>
      </c>
    </row>
    <row r="35" spans="6:7" x14ac:dyDescent="0.35">
      <c r="F35" s="1">
        <v>1.31327E+16</v>
      </c>
      <c r="G35">
        <v>330.32166000000001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364A-FD13-4942-8385-7EDD4C228D24}">
  <dimension ref="A1:Z94"/>
  <sheetViews>
    <sheetView tabSelected="1" workbookViewId="0">
      <selection activeCell="Z2" sqref="Z2"/>
    </sheetView>
  </sheetViews>
  <sheetFormatPr defaultRowHeight="14.5" x14ac:dyDescent="0.35"/>
  <cols>
    <col min="21" max="21" width="23.08984375" bestFit="1" customWidth="1"/>
    <col min="26" max="26" width="17.54296875" bestFit="1" customWidth="1"/>
  </cols>
  <sheetData>
    <row r="1" spans="1:26" x14ac:dyDescent="0.35">
      <c r="A1" t="s">
        <v>11</v>
      </c>
      <c r="E1" t="s">
        <v>12</v>
      </c>
      <c r="Q1" t="s">
        <v>21</v>
      </c>
      <c r="T1" t="s">
        <v>22</v>
      </c>
    </row>
    <row r="2" spans="1:26" x14ac:dyDescent="0.35">
      <c r="A2" t="s">
        <v>13</v>
      </c>
      <c r="B2" t="s">
        <v>14</v>
      </c>
      <c r="D2" t="s">
        <v>15</v>
      </c>
      <c r="E2" s="3" t="s">
        <v>7</v>
      </c>
      <c r="F2" t="s">
        <v>16</v>
      </c>
      <c r="G2" t="s">
        <v>17</v>
      </c>
      <c r="H2" t="s">
        <v>18</v>
      </c>
      <c r="I2" s="3" t="s">
        <v>19</v>
      </c>
      <c r="P2" t="s">
        <v>13</v>
      </c>
      <c r="Q2" t="s">
        <v>23</v>
      </c>
      <c r="U2" t="s">
        <v>15</v>
      </c>
      <c r="V2" s="3" t="s">
        <v>7</v>
      </c>
      <c r="W2" t="s">
        <v>24</v>
      </c>
      <c r="X2" t="s">
        <v>25</v>
      </c>
      <c r="Y2" t="s">
        <v>26</v>
      </c>
      <c r="Z2" s="3" t="s">
        <v>27</v>
      </c>
    </row>
    <row r="3" spans="1:26" x14ac:dyDescent="0.35">
      <c r="A3">
        <v>1500</v>
      </c>
      <c r="B3">
        <v>-1.2618479147131501</v>
      </c>
      <c r="D3">
        <v>90</v>
      </c>
      <c r="E3">
        <v>982.4823398799407</v>
      </c>
      <c r="F3">
        <v>1.9317014241668383E-5</v>
      </c>
      <c r="G3" s="1">
        <f t="shared" ref="G3:G66" si="0">$B$83*E3*LN(F3/$F$79)</f>
        <v>-0.31000211400045752</v>
      </c>
      <c r="I3" s="1">
        <f t="shared" ref="I3:I66" si="1">G3+$H$79</f>
        <v>-0.66569855223339958</v>
      </c>
      <c r="P3">
        <v>1500</v>
      </c>
      <c r="Q3">
        <v>-1.3243686623716899</v>
      </c>
      <c r="U3">
        <v>20</v>
      </c>
      <c r="V3">
        <v>1238.604835513278</v>
      </c>
      <c r="W3">
        <v>1.340942019630306E-6</v>
      </c>
      <c r="X3" s="1">
        <f>$B$83*V3*LN(W3/$W$62)/2</f>
        <v>-0.29572031608333554</v>
      </c>
      <c r="Y3" s="1"/>
      <c r="Z3" s="1">
        <f>X3+$Y$62</f>
        <v>-0.72079164568378551</v>
      </c>
    </row>
    <row r="4" spans="1:26" x14ac:dyDescent="0.35">
      <c r="A4">
        <v>1480</v>
      </c>
      <c r="B4">
        <v>-1.2393562448551201</v>
      </c>
      <c r="E4">
        <v>1000.5803365952253</v>
      </c>
      <c r="F4">
        <v>3.1550046233746203E-5</v>
      </c>
      <c r="G4" s="1">
        <f t="shared" si="0"/>
        <v>-0.27341399664601046</v>
      </c>
      <c r="I4" s="1">
        <f t="shared" si="1"/>
        <v>-0.62911043487895246</v>
      </c>
      <c r="P4">
        <v>1480</v>
      </c>
      <c r="Q4">
        <v>-1.2991319170978699</v>
      </c>
      <c r="U4">
        <v>30</v>
      </c>
      <c r="V4">
        <v>1268.1343207872578</v>
      </c>
      <c r="W4">
        <v>3.6743455782360347E-6</v>
      </c>
      <c r="X4" s="1">
        <f>$B$83*V4*LN(W4/$W$62)/2</f>
        <v>-0.24769574806062705</v>
      </c>
      <c r="Y4" s="1"/>
      <c r="Z4" s="1">
        <f t="shared" ref="Z4:Z61" si="2">X4+$Y$62</f>
        <v>-0.67276707766107702</v>
      </c>
    </row>
    <row r="5" spans="1:26" x14ac:dyDescent="0.35">
      <c r="A5">
        <v>1460</v>
      </c>
      <c r="B5">
        <v>-1.2169477897280101</v>
      </c>
      <c r="E5">
        <v>1021.9932957239801</v>
      </c>
      <c r="F5">
        <v>5.8462852299437098E-5</v>
      </c>
      <c r="G5" s="1">
        <f t="shared" si="0"/>
        <v>-0.22494515900037593</v>
      </c>
      <c r="I5" s="1">
        <f t="shared" si="1"/>
        <v>-0.58064159723331787</v>
      </c>
      <c r="P5">
        <v>1460</v>
      </c>
      <c r="Q5">
        <v>-1.2739863790505199</v>
      </c>
      <c r="V5">
        <v>1279.2795097800918</v>
      </c>
      <c r="W5">
        <v>5.67583811355097E-6</v>
      </c>
      <c r="X5" s="1">
        <f>$B$83*V5*LN(W5/$W$62)/2</f>
        <v>-0.22590507751438069</v>
      </c>
      <c r="Y5" s="1"/>
      <c r="Z5" s="1">
        <f t="shared" si="2"/>
        <v>-0.65097640711483074</v>
      </c>
    </row>
    <row r="6" spans="1:26" x14ac:dyDescent="0.35">
      <c r="A6">
        <v>1440</v>
      </c>
      <c r="B6">
        <v>-1.19462368933047</v>
      </c>
      <c r="E6">
        <v>1040.6368697642959</v>
      </c>
      <c r="F6">
        <v>9.6870156194820179E-5</v>
      </c>
      <c r="G6" s="1">
        <f t="shared" si="0"/>
        <v>-0.18376629172112185</v>
      </c>
      <c r="I6" s="1">
        <f t="shared" si="1"/>
        <v>-0.53946272995406386</v>
      </c>
      <c r="P6">
        <v>1440</v>
      </c>
      <c r="Q6">
        <v>-1.2489332977213501</v>
      </c>
      <c r="U6">
        <v>40</v>
      </c>
      <c r="V6">
        <v>1296.6804979253111</v>
      </c>
      <c r="W6">
        <v>1.0939815558383115E-5</v>
      </c>
      <c r="X6" s="1">
        <f>$B$83*V6*LN(W6/$W$62)/2</f>
        <v>-0.19231815837820412</v>
      </c>
      <c r="Y6" s="1"/>
      <c r="Z6" s="1">
        <f t="shared" si="2"/>
        <v>-0.61738948797865412</v>
      </c>
    </row>
    <row r="7" spans="1:26" x14ac:dyDescent="0.35">
      <c r="A7">
        <v>1420</v>
      </c>
      <c r="B7">
        <v>-1.17238511533078</v>
      </c>
      <c r="E7">
        <v>1067.0878106559389</v>
      </c>
      <c r="F7">
        <v>1.971560007320766E-4</v>
      </c>
      <c r="G7" s="1">
        <f t="shared" si="0"/>
        <v>-0.1230947298678832</v>
      </c>
      <c r="I7" s="1">
        <f t="shared" si="1"/>
        <v>-0.47879116810082523</v>
      </c>
      <c r="P7">
        <v>1420</v>
      </c>
      <c r="Q7">
        <v>-1.22397395731346</v>
      </c>
      <c r="V7">
        <v>1310.9596224436286</v>
      </c>
      <c r="W7">
        <v>2.0919437371625175E-5</v>
      </c>
      <c r="X7" s="1">
        <f>$B$83*V7*LN(W7/$W$62)/2</f>
        <v>-0.15781995162973622</v>
      </c>
      <c r="Y7" s="1"/>
      <c r="Z7" s="1">
        <f t="shared" si="2"/>
        <v>-0.5828912812301863</v>
      </c>
    </row>
    <row r="8" spans="1:26" x14ac:dyDescent="0.35">
      <c r="A8">
        <v>1400</v>
      </c>
      <c r="B8">
        <v>-1.15023327240522</v>
      </c>
      <c r="D8">
        <v>80</v>
      </c>
      <c r="E8">
        <v>1084.9517196484758</v>
      </c>
      <c r="F8">
        <v>3.0175883890474787E-4</v>
      </c>
      <c r="G8" s="1">
        <f t="shared" si="0"/>
        <v>-8.5362895881522044E-2</v>
      </c>
      <c r="I8" s="1">
        <f t="shared" si="1"/>
        <v>-0.44105933411446407</v>
      </c>
      <c r="P8">
        <v>1400</v>
      </c>
      <c r="Q8">
        <v>-1.19910967820821</v>
      </c>
      <c r="U8">
        <v>45</v>
      </c>
      <c r="V8">
        <v>1326.0489046836046</v>
      </c>
      <c r="W8">
        <v>4.2279515316204821E-5</v>
      </c>
      <c r="X8" s="1">
        <f>$B$83*V8*LN(W8/$W$62)/2</f>
        <v>-0.11943645719559964</v>
      </c>
      <c r="Y8" s="1"/>
      <c r="Z8" s="1">
        <f t="shared" si="2"/>
        <v>-0.54450778679604972</v>
      </c>
    </row>
    <row r="9" spans="1:26" x14ac:dyDescent="0.35">
      <c r="A9">
        <v>1380</v>
      </c>
      <c r="B9">
        <v>-1.1281693996528299</v>
      </c>
      <c r="E9">
        <v>1111.6793027547412</v>
      </c>
      <c r="F9">
        <v>5.9025544220363269E-4</v>
      </c>
      <c r="G9" s="1">
        <f t="shared" si="0"/>
        <v>-2.3195389292686702E-2</v>
      </c>
      <c r="I9" s="1">
        <f t="shared" si="1"/>
        <v>-0.37889182752562872</v>
      </c>
      <c r="P9">
        <v>1380</v>
      </c>
      <c r="Q9">
        <v>-1.17434181851597</v>
      </c>
      <c r="V9">
        <v>1339.4411851375605</v>
      </c>
      <c r="W9">
        <v>9.7741725128529052E-5</v>
      </c>
      <c r="X9" s="1">
        <f>$B$83*V9*LN(W9/$W$62)/2</f>
        <v>-7.228036859541126E-2</v>
      </c>
      <c r="Y9" s="1"/>
      <c r="Z9" s="1">
        <f t="shared" si="2"/>
        <v>-0.49735169819586128</v>
      </c>
    </row>
    <row r="10" spans="1:26" x14ac:dyDescent="0.35">
      <c r="A10">
        <v>1360</v>
      </c>
      <c r="B10">
        <v>-1.10619477209229</v>
      </c>
      <c r="D10">
        <v>70</v>
      </c>
      <c r="E10">
        <v>1137.0355209896757</v>
      </c>
      <c r="F10">
        <v>1.1217084719735428E-3</v>
      </c>
      <c r="G10" s="1">
        <f t="shared" si="0"/>
        <v>3.9182825813801621E-2</v>
      </c>
      <c r="I10" s="1">
        <f t="shared" si="1"/>
        <v>-0.31651361241914039</v>
      </c>
      <c r="P10">
        <v>1360</v>
      </c>
      <c r="Q10">
        <v>-1.1496717757166699</v>
      </c>
      <c r="U10">
        <v>48</v>
      </c>
      <c r="V10">
        <v>1351.8811426099417</v>
      </c>
      <c r="W10">
        <v>2.4071325190501644E-4</v>
      </c>
      <c r="X10" s="1">
        <f>$B$83*V10*LN(W10/$W$62)/2</f>
        <v>-2.0456018051426033E-2</v>
      </c>
      <c r="Y10" s="1"/>
      <c r="Z10" s="1">
        <f t="shared" si="2"/>
        <v>-0.44552734765187607</v>
      </c>
    </row>
    <row r="11" spans="1:26" x14ac:dyDescent="0.35">
      <c r="A11">
        <v>1340</v>
      </c>
      <c r="B11">
        <v>-1.0843107022468299</v>
      </c>
      <c r="E11">
        <v>1170.3434958160219</v>
      </c>
      <c r="F11">
        <v>2.4804472750026892E-3</v>
      </c>
      <c r="G11" s="1">
        <f t="shared" si="0"/>
        <v>0.12036258781256666</v>
      </c>
      <c r="I11" s="1">
        <f t="shared" si="1"/>
        <v>-0.23533385042037536</v>
      </c>
      <c r="P11">
        <v>1340</v>
      </c>
      <c r="Q11">
        <v>-1.12510098839699</v>
      </c>
      <c r="V11">
        <v>1358.547983914792</v>
      </c>
      <c r="W11">
        <v>6.0945269242257264E-4</v>
      </c>
      <c r="X11" s="1">
        <f>$B$83*V11*LN(W11/$W$62)/2</f>
        <v>3.3817658464672259E-2</v>
      </c>
      <c r="Y11" s="1"/>
      <c r="Z11" s="1">
        <f t="shared" si="2"/>
        <v>-0.39125367113577775</v>
      </c>
    </row>
    <row r="12" spans="1:26" x14ac:dyDescent="0.35">
      <c r="A12">
        <v>1320</v>
      </c>
      <c r="B12">
        <v>-1.0625185418237899</v>
      </c>
      <c r="E12">
        <v>1199.1126566340909</v>
      </c>
      <c r="F12">
        <v>4.8518794295588415E-3</v>
      </c>
      <c r="G12" s="1">
        <f t="shared" si="0"/>
        <v>0.1926465780995299</v>
      </c>
      <c r="I12" s="1">
        <f t="shared" si="1"/>
        <v>-0.16304986013341211</v>
      </c>
      <c r="P12">
        <v>1320</v>
      </c>
      <c r="Q12">
        <v>-1.10063093809123</v>
      </c>
      <c r="V12">
        <v>1361.8968499325861</v>
      </c>
      <c r="W12">
        <v>1.2317427082782298E-3</v>
      </c>
      <c r="X12" s="1">
        <f>$B$83*V12*LN(W12/$W$62)/2</f>
        <v>7.5187792018594116E-2</v>
      </c>
      <c r="Y12" s="1"/>
      <c r="Z12" s="1">
        <f t="shared" si="2"/>
        <v>-0.34988353758185592</v>
      </c>
    </row>
    <row r="13" spans="1:26" x14ac:dyDescent="0.35">
      <c r="A13">
        <v>1300</v>
      </c>
      <c r="B13">
        <v>-1.04081968349594</v>
      </c>
      <c r="E13">
        <v>1228.0184693977797</v>
      </c>
      <c r="F13">
        <v>9.5935645050139913E-3</v>
      </c>
      <c r="G13" s="1">
        <f t="shared" si="0"/>
        <v>0.26942967749565444</v>
      </c>
      <c r="I13" s="1">
        <f t="shared" si="1"/>
        <v>-8.6266760737287562E-2</v>
      </c>
      <c r="P13">
        <v>1300</v>
      </c>
      <c r="Q13">
        <v>-1.0762631512337</v>
      </c>
      <c r="V13">
        <v>1367.9890560875513</v>
      </c>
      <c r="W13">
        <v>5.5999999999999999E-3</v>
      </c>
      <c r="X13" s="1">
        <f>$B$83*V13*LN(W13/$W$62)/2</f>
        <v>0.1647788402823252</v>
      </c>
      <c r="Y13" s="1"/>
      <c r="Z13" s="1">
        <f t="shared" si="2"/>
        <v>-0.26029248931812482</v>
      </c>
    </row>
    <row r="14" spans="1:26" x14ac:dyDescent="0.35">
      <c r="A14">
        <v>1280</v>
      </c>
      <c r="B14">
        <v>-1.0192155627925401</v>
      </c>
      <c r="D14">
        <v>60</v>
      </c>
      <c r="E14">
        <v>1257.8141705344451</v>
      </c>
      <c r="F14">
        <v>1.9245535513996413E-2</v>
      </c>
      <c r="G14" s="1">
        <f t="shared" si="0"/>
        <v>0.35142368784484751</v>
      </c>
      <c r="I14" s="1">
        <f t="shared" si="1"/>
        <v>-4.2727503880944928E-3</v>
      </c>
      <c r="P14">
        <v>1280</v>
      </c>
      <c r="Q14">
        <v>-1.0519992012314401</v>
      </c>
      <c r="V14">
        <v>1366.1202185792349</v>
      </c>
      <c r="W14">
        <v>6.7999999999999996E-3</v>
      </c>
      <c r="X14" s="1">
        <f>$B$83*V14*LN(W14/$W$62)/2</f>
        <v>0.17598161766197865</v>
      </c>
      <c r="Y14" s="1"/>
      <c r="Z14" s="1">
        <f t="shared" si="2"/>
        <v>-0.24908971193847138</v>
      </c>
    </row>
    <row r="15" spans="1:26" x14ac:dyDescent="0.35">
      <c r="A15">
        <v>1260</v>
      </c>
      <c r="B15">
        <v>-0.99770766010854595</v>
      </c>
      <c r="E15">
        <v>1284.7195457231687</v>
      </c>
      <c r="F15">
        <v>3.8192668206135823E-2</v>
      </c>
      <c r="G15" s="1">
        <f t="shared" si="0"/>
        <v>0.43481362503692217</v>
      </c>
      <c r="I15" s="1">
        <f t="shared" si="1"/>
        <v>7.9117186803980166E-2</v>
      </c>
      <c r="P15">
        <v>1260</v>
      </c>
      <c r="Q15">
        <v>-1.0278407106663501</v>
      </c>
      <c r="U15">
        <v>50</v>
      </c>
      <c r="V15">
        <v>1364.5543365536814</v>
      </c>
      <c r="W15">
        <v>2.6519785069951834E-3</v>
      </c>
      <c r="X15" s="1">
        <f>$B$83*V15*LN(W15/$W$62)/2</f>
        <v>0.12042054337518225</v>
      </c>
      <c r="Y15" s="1"/>
      <c r="Z15" s="1">
        <f t="shared" si="2"/>
        <v>-0.30465078622526776</v>
      </c>
    </row>
    <row r="16" spans="1:26" x14ac:dyDescent="0.35">
      <c r="A16">
        <v>1240</v>
      </c>
      <c r="B16">
        <v>-0.97629750284137495</v>
      </c>
      <c r="E16">
        <v>1318.1308903974164</v>
      </c>
      <c r="F16">
        <v>9.8267520950191797E-2</v>
      </c>
      <c r="G16" s="1">
        <f t="shared" si="0"/>
        <v>0.5534636366333624</v>
      </c>
      <c r="I16" s="1">
        <f t="shared" si="1"/>
        <v>0.1977671984004204</v>
      </c>
      <c r="P16">
        <v>1240</v>
      </c>
      <c r="Q16">
        <v>-1.00378935363725</v>
      </c>
      <c r="U16">
        <v>50.5</v>
      </c>
      <c r="V16">
        <v>1362.60202482661</v>
      </c>
      <c r="W16">
        <v>5.7778997193237884E-3</v>
      </c>
      <c r="X16" s="1">
        <f>$B$83*V16*LN(W16/$W$62)/2</f>
        <v>0.16596595865063185</v>
      </c>
      <c r="Y16" s="1"/>
      <c r="Z16" s="1">
        <f t="shared" si="2"/>
        <v>-0.25910537094981817</v>
      </c>
    </row>
    <row r="17" spans="1:26" x14ac:dyDescent="0.35">
      <c r="A17">
        <v>1220</v>
      </c>
      <c r="B17">
        <v>-0.95498666766565898</v>
      </c>
      <c r="E17">
        <v>1325.2580940138093</v>
      </c>
      <c r="F17">
        <v>0.15204424976579617</v>
      </c>
      <c r="G17" s="1">
        <f t="shared" si="0"/>
        <v>0.60630093933848817</v>
      </c>
      <c r="I17" s="1">
        <f t="shared" si="1"/>
        <v>0.25060450110554616</v>
      </c>
      <c r="P17">
        <v>1220</v>
      </c>
      <c r="Q17">
        <v>-0.97984685825308904</v>
      </c>
      <c r="V17">
        <v>1360.5442176870749</v>
      </c>
      <c r="W17">
        <v>1.2E-2</v>
      </c>
      <c r="X17" s="1">
        <f>$B$83*V17*LN(W17/$W$62)/2</f>
        <v>0.20855800869227251</v>
      </c>
      <c r="Y17" s="1"/>
      <c r="Z17" s="1">
        <f t="shared" si="2"/>
        <v>-0.21651332090817751</v>
      </c>
    </row>
    <row r="18" spans="1:26" x14ac:dyDescent="0.35">
      <c r="A18">
        <v>1200</v>
      </c>
      <c r="B18">
        <v>-0.93377678295711497</v>
      </c>
      <c r="E18">
        <v>1337.1665440930667</v>
      </c>
      <c r="F18">
        <v>0.20809421163016845</v>
      </c>
      <c r="G18" s="1">
        <f t="shared" si="0"/>
        <v>0.64790841853488768</v>
      </c>
      <c r="I18" s="1">
        <f t="shared" si="1"/>
        <v>0.29221198030194567</v>
      </c>
      <c r="P18">
        <v>1200</v>
      </c>
      <c r="Q18">
        <v>-0.95601500928959005</v>
      </c>
      <c r="V18">
        <v>1358.547983914792</v>
      </c>
      <c r="W18">
        <v>1.1180725881983654E-2</v>
      </c>
      <c r="X18" s="1">
        <f>$B$83*V18*LN(W18/$W$62)/2</f>
        <v>0.20411282676675874</v>
      </c>
      <c r="Y18" s="1"/>
      <c r="Z18" s="1">
        <f t="shared" si="2"/>
        <v>-0.22095850283369128</v>
      </c>
    </row>
    <row r="19" spans="1:26" x14ac:dyDescent="0.35">
      <c r="A19">
        <v>1180</v>
      </c>
      <c r="B19">
        <v>-0.91266953137806495</v>
      </c>
      <c r="E19">
        <v>1348.508549544204</v>
      </c>
      <c r="F19">
        <v>0.27770263461505673</v>
      </c>
      <c r="G19" s="1">
        <f t="shared" si="0"/>
        <v>0.68693500578053845</v>
      </c>
      <c r="I19" s="1">
        <f t="shared" si="1"/>
        <v>0.33123856754759645</v>
      </c>
      <c r="P19">
        <v>1180</v>
      </c>
      <c r="Q19">
        <v>-0.93229565102315104</v>
      </c>
      <c r="V19">
        <v>1355.9138181177204</v>
      </c>
      <c r="W19">
        <v>1.4006189566436771E-2</v>
      </c>
      <c r="X19" s="1">
        <f>$B$83*V19*LN(W19/$W$62)/2</f>
        <v>0.21687944924186459</v>
      </c>
      <c r="Y19" s="1"/>
      <c r="Z19" s="1">
        <f t="shared" si="2"/>
        <v>-0.20819188035858543</v>
      </c>
    </row>
    <row r="20" spans="1:26" x14ac:dyDescent="0.35">
      <c r="A20">
        <v>1160</v>
      </c>
      <c r="B20">
        <v>-0.89166665263829503</v>
      </c>
      <c r="D20">
        <v>52</v>
      </c>
      <c r="E20">
        <v>1348.5812924803108</v>
      </c>
      <c r="F20">
        <v>0.31962445462600764</v>
      </c>
      <c r="G20" s="1">
        <f t="shared" si="0"/>
        <v>0.70331031788397491</v>
      </c>
      <c r="I20" s="1">
        <f t="shared" si="1"/>
        <v>0.34761387965103291</v>
      </c>
      <c r="P20">
        <v>1160</v>
      </c>
      <c r="Q20">
        <v>-0.90869069025683902</v>
      </c>
      <c r="V20">
        <v>1351.3696131028796</v>
      </c>
      <c r="W20">
        <v>2.0069659298991602E-2</v>
      </c>
      <c r="X20" s="1">
        <f>$B$83*V20*LN(W20/$W$62)/2</f>
        <v>0.23709625968705747</v>
      </c>
      <c r="Y20" s="1"/>
      <c r="Z20" s="1">
        <f t="shared" si="2"/>
        <v>-0.18797506991339255</v>
      </c>
    </row>
    <row r="21" spans="1:26" x14ac:dyDescent="0.35">
      <c r="A21">
        <v>1140</v>
      </c>
      <c r="B21">
        <v>-0.87076994644635097</v>
      </c>
      <c r="E21">
        <v>1350.7125008441953</v>
      </c>
      <c r="F21">
        <v>0.38560264123764515</v>
      </c>
      <c r="G21" s="1">
        <f t="shared" si="0"/>
        <v>0.72626377814626031</v>
      </c>
      <c r="I21" s="1">
        <f t="shared" si="1"/>
        <v>0.37056733991331831</v>
      </c>
      <c r="P21">
        <v>1140</v>
      </c>
      <c r="Q21">
        <v>-0.88520211930314396</v>
      </c>
      <c r="V21">
        <v>1351.3513513513515</v>
      </c>
      <c r="W21" s="2">
        <v>2.3E-2</v>
      </c>
      <c r="X21" s="1">
        <f>$B$83*V21*LN(W21/$W$62)/2</f>
        <v>0.24502797523785369</v>
      </c>
      <c r="Y21" s="1"/>
      <c r="Z21" s="1">
        <f t="shared" si="2"/>
        <v>-0.18004335436259633</v>
      </c>
    </row>
    <row r="22" spans="1:26" x14ac:dyDescent="0.35">
      <c r="A22">
        <v>1120</v>
      </c>
      <c r="B22">
        <v>-0.84998127566799997</v>
      </c>
      <c r="E22">
        <v>1353.1250422851576</v>
      </c>
      <c r="F22">
        <v>0.45355504284176912</v>
      </c>
      <c r="G22" s="1">
        <f t="shared" si="0"/>
        <v>0.74648603428030202</v>
      </c>
      <c r="I22" s="1">
        <f t="shared" si="1"/>
        <v>0.39078959604736002</v>
      </c>
      <c r="P22">
        <v>1120</v>
      </c>
      <c r="Q22">
        <v>-0.86183202514694002</v>
      </c>
      <c r="U22">
        <v>52</v>
      </c>
      <c r="V22">
        <v>1349.2727419920661</v>
      </c>
      <c r="W22">
        <v>2.3322763047621167E-2</v>
      </c>
      <c r="X22" s="1">
        <f>$B$83*V22*LN(W22/$W$62)/2</f>
        <v>0.24546120567541677</v>
      </c>
      <c r="Y22" s="1"/>
      <c r="Z22" s="1">
        <f t="shared" si="2"/>
        <v>-0.17961012392503325</v>
      </c>
    </row>
    <row r="23" spans="1:26" x14ac:dyDescent="0.35">
      <c r="A23">
        <v>1100</v>
      </c>
      <c r="B23">
        <v>-0.82930256971036098</v>
      </c>
      <c r="E23">
        <v>1354.5546901456146</v>
      </c>
      <c r="F23">
        <v>0.50721256075737697</v>
      </c>
      <c r="G23" s="1">
        <f t="shared" si="0"/>
        <v>0.76032583268078469</v>
      </c>
      <c r="I23" s="1">
        <f t="shared" si="1"/>
        <v>0.40462939444784268</v>
      </c>
      <c r="P23">
        <v>1100</v>
      </c>
      <c r="Q23">
        <v>-0.83858267862953595</v>
      </c>
      <c r="V23">
        <v>1346.6743875998222</v>
      </c>
      <c r="W23">
        <v>2.5441926872769031E-2</v>
      </c>
      <c r="X23" s="1">
        <f>$B$83*V23*LN(W23/$W$62)/2</f>
        <v>0.25003455806721625</v>
      </c>
      <c r="Y23" s="1"/>
      <c r="Z23" s="1">
        <f t="shared" si="2"/>
        <v>-0.17503677153323377</v>
      </c>
    </row>
    <row r="24" spans="1:26" x14ac:dyDescent="0.35">
      <c r="A24">
        <v>1080</v>
      </c>
      <c r="B24">
        <v>-0.80873582815220202</v>
      </c>
      <c r="E24">
        <v>1357.5889220743959</v>
      </c>
      <c r="F24">
        <v>0.61407299656102321</v>
      </c>
      <c r="G24" s="1">
        <f t="shared" si="0"/>
        <v>0.78439429847782616</v>
      </c>
      <c r="I24" s="1">
        <f t="shared" si="1"/>
        <v>0.42869786024488415</v>
      </c>
      <c r="P24">
        <v>1080</v>
      </c>
      <c r="Q24">
        <v>-0.81545640674253606</v>
      </c>
      <c r="V24">
        <v>1336.8983957219252</v>
      </c>
      <c r="W24">
        <v>4.2000000000000003E-2</v>
      </c>
      <c r="X24" s="1">
        <f>$B$83*V24*LN(W24/$W$62)/2</f>
        <v>0.27709281936690272</v>
      </c>
      <c r="Y24" s="1"/>
      <c r="Z24" s="1">
        <f t="shared" si="2"/>
        <v>-0.1479785102335473</v>
      </c>
    </row>
    <row r="25" spans="1:26" x14ac:dyDescent="0.35">
      <c r="A25">
        <v>1060</v>
      </c>
      <c r="B25">
        <v>-0.78828312464324002</v>
      </c>
      <c r="E25">
        <v>1364.7405628190081</v>
      </c>
      <c r="F25">
        <v>0.78478374671965501</v>
      </c>
      <c r="G25" s="1">
        <f t="shared" si="0"/>
        <v>0.81737295335498517</v>
      </c>
      <c r="I25" s="1">
        <f t="shared" si="1"/>
        <v>0.46167651512204316</v>
      </c>
      <c r="P25">
        <v>1060</v>
      </c>
      <c r="Q25">
        <v>-0.79245563092131399</v>
      </c>
      <c r="V25">
        <v>1335.6841374151841</v>
      </c>
      <c r="W25">
        <v>4.1208803031053072E-2</v>
      </c>
      <c r="X25" s="1">
        <f>$B$83*V25*LN(W25/$W$62)/2</f>
        <v>0.2757467148388219</v>
      </c>
      <c r="Y25" s="1"/>
      <c r="Z25" s="1">
        <f t="shared" si="2"/>
        <v>-0.14932461476162812</v>
      </c>
    </row>
    <row r="26" spans="1:26" x14ac:dyDescent="0.35">
      <c r="A26">
        <v>1040</v>
      </c>
      <c r="B26">
        <v>-0.76794661109780304</v>
      </c>
      <c r="E26">
        <v>1364.7405628190081</v>
      </c>
      <c r="F26">
        <v>1.0029285629546834</v>
      </c>
      <c r="G26" s="1">
        <f t="shared" si="0"/>
        <v>0.84621679079389989</v>
      </c>
      <c r="I26" s="1">
        <f t="shared" si="1"/>
        <v>0.49052035256095788</v>
      </c>
      <c r="P26">
        <v>1040</v>
      </c>
      <c r="Q26">
        <v>-0.76958289611316399</v>
      </c>
      <c r="V26">
        <v>1324.5033112582782</v>
      </c>
      <c r="W26">
        <v>0.06</v>
      </c>
      <c r="X26" s="1">
        <f>$B$83*V26*LN(W26/$W$62)/2</f>
        <v>0.29487783953118346</v>
      </c>
      <c r="Y26" s="1"/>
      <c r="Z26" s="1">
        <f t="shared" si="2"/>
        <v>-0.13019349006926656</v>
      </c>
    </row>
    <row r="27" spans="1:26" x14ac:dyDescent="0.35">
      <c r="A27">
        <v>1020</v>
      </c>
      <c r="B27">
        <v>-0.74772852221117503</v>
      </c>
      <c r="D27">
        <v>50</v>
      </c>
      <c r="E27">
        <v>1365.3554702966917</v>
      </c>
      <c r="F27">
        <v>1.2318845260616855</v>
      </c>
      <c r="G27" s="1">
        <f t="shared" si="0"/>
        <v>0.87078991251866389</v>
      </c>
      <c r="I27" s="1">
        <f t="shared" si="1"/>
        <v>0.51509347428572183</v>
      </c>
      <c r="P27">
        <v>1020</v>
      </c>
      <c r="Q27">
        <v>-0.74684090443009798</v>
      </c>
      <c r="V27">
        <v>1324.047347933162</v>
      </c>
      <c r="W27">
        <v>5.8123264699176863E-2</v>
      </c>
      <c r="X27" s="1">
        <f>$B$83*V27*LN(W27/$W$62)/2</f>
        <v>0.29296346936536849</v>
      </c>
      <c r="Y27" s="1"/>
      <c r="Z27" s="1">
        <f t="shared" si="2"/>
        <v>-0.13210786023508153</v>
      </c>
    </row>
    <row r="28" spans="1:26" x14ac:dyDescent="0.35">
      <c r="A28">
        <v>1000</v>
      </c>
      <c r="B28">
        <v>-0.72763118033028695</v>
      </c>
      <c r="E28">
        <v>1365</v>
      </c>
      <c r="F28">
        <v>1.26</v>
      </c>
      <c r="G28" s="1">
        <f t="shared" si="0"/>
        <v>0.87321753083532083</v>
      </c>
      <c r="I28" s="1">
        <f t="shared" si="1"/>
        <v>0.51752109260237877</v>
      </c>
      <c r="P28">
        <v>1000</v>
      </c>
      <c r="Q28">
        <v>-0.72423255412057197</v>
      </c>
      <c r="V28">
        <v>1315.7894736842104</v>
      </c>
      <c r="W28">
        <v>7.4999999999999997E-2</v>
      </c>
      <c r="X28" s="1">
        <f>$B$83*V28*LN(W28/$W$62)/2</f>
        <v>0.30558803783475813</v>
      </c>
      <c r="Y28" s="1"/>
      <c r="Z28" s="1">
        <f t="shared" si="2"/>
        <v>-0.11948329176569189</v>
      </c>
    </row>
    <row r="29" spans="1:26" x14ac:dyDescent="0.35">
      <c r="A29">
        <v>980</v>
      </c>
      <c r="B29">
        <v>-0.70765700071416504</v>
      </c>
      <c r="E29">
        <v>1364.7405628190081</v>
      </c>
      <c r="F29">
        <v>1.6860094325505897</v>
      </c>
      <c r="G29" s="1">
        <f t="shared" si="0"/>
        <v>0.9073027961247746</v>
      </c>
      <c r="I29" s="1">
        <f t="shared" si="1"/>
        <v>0.55160635789183265</v>
      </c>
      <c r="P29">
        <v>980</v>
      </c>
      <c r="Q29">
        <v>-0.70176098472347803</v>
      </c>
      <c r="V29">
        <v>1315.2356902356903</v>
      </c>
      <c r="W29">
        <v>7.0545611118573714E-2</v>
      </c>
      <c r="X29" s="1">
        <f>$B$83*V29*LN(W29/$W$62)/2</f>
        <v>0.3019897839222887</v>
      </c>
      <c r="Y29" s="1"/>
      <c r="Z29" s="1">
        <f t="shared" si="2"/>
        <v>-0.12308154567816132</v>
      </c>
    </row>
    <row r="30" spans="1:26" x14ac:dyDescent="0.35">
      <c r="A30">
        <v>960</v>
      </c>
      <c r="B30">
        <v>-0.68780849722397497</v>
      </c>
      <c r="E30">
        <v>1364</v>
      </c>
      <c r="F30">
        <v>1.73</v>
      </c>
      <c r="G30" s="1">
        <f t="shared" si="0"/>
        <v>0.90983782362679055</v>
      </c>
      <c r="I30" s="1">
        <f t="shared" si="1"/>
        <v>0.55414138539384861</v>
      </c>
      <c r="P30">
        <v>960</v>
      </c>
      <c r="Q30">
        <v>-0.67942962942236096</v>
      </c>
      <c r="U30">
        <v>55</v>
      </c>
      <c r="V30">
        <v>1312.11210685841</v>
      </c>
      <c r="W30">
        <v>8.3285615571912566E-2</v>
      </c>
      <c r="X30" s="1">
        <f>$B$83*V30*LN(W30/$W$62)/2</f>
        <v>0.31065787787955645</v>
      </c>
      <c r="Y30" s="1"/>
      <c r="Z30" s="1">
        <f t="shared" si="2"/>
        <v>-0.11441345172089357</v>
      </c>
    </row>
    <row r="31" spans="1:26" x14ac:dyDescent="0.35">
      <c r="A31">
        <v>940</v>
      </c>
      <c r="B31">
        <v>-0.66808828848737101</v>
      </c>
      <c r="E31">
        <v>1363.1035140808592</v>
      </c>
      <c r="F31">
        <v>2.1314738064604484</v>
      </c>
      <c r="G31" s="1">
        <f t="shared" si="0"/>
        <v>0.93375254166650345</v>
      </c>
      <c r="I31" s="1">
        <f t="shared" si="1"/>
        <v>0.5780561034335614</v>
      </c>
      <c r="P31">
        <v>940</v>
      </c>
      <c r="Q31">
        <v>-0.65724227580341998</v>
      </c>
      <c r="V31">
        <v>1308.9005235602094</v>
      </c>
      <c r="W31">
        <v>8.7999999999999995E-2</v>
      </c>
      <c r="X31" s="1">
        <f>$B$83*V31*LN(W31/$W$62)/2</f>
        <v>0.3130026047571961</v>
      </c>
      <c r="Y31" s="1"/>
      <c r="Z31" s="1">
        <f t="shared" si="2"/>
        <v>-0.11206872484325392</v>
      </c>
    </row>
    <row r="32" spans="1:26" x14ac:dyDescent="0.35">
      <c r="A32">
        <v>920</v>
      </c>
      <c r="B32">
        <v>-0.648499104587689</v>
      </c>
      <c r="E32">
        <v>1363</v>
      </c>
      <c r="F32">
        <v>1.74</v>
      </c>
      <c r="G32" s="1">
        <f t="shared" si="0"/>
        <v>0.90984773254671281</v>
      </c>
      <c r="I32" s="1">
        <f t="shared" si="1"/>
        <v>0.55415129431377075</v>
      </c>
      <c r="P32">
        <v>920</v>
      </c>
      <c r="Q32">
        <v>-0.63520313644417103</v>
      </c>
      <c r="V32">
        <v>1298.7012987012986</v>
      </c>
      <c r="W32">
        <v>0.10199999999999999</v>
      </c>
      <c r="X32" s="1">
        <f>$B$83*V32*LN(W32/$W$62)/2</f>
        <v>0.31882452862734684</v>
      </c>
      <c r="Y32" s="1"/>
      <c r="Z32" s="1">
        <f t="shared" si="2"/>
        <v>-0.10624680097310318</v>
      </c>
    </row>
    <row r="33" spans="1:26" x14ac:dyDescent="0.35">
      <c r="A33">
        <v>900</v>
      </c>
      <c r="B33">
        <v>-0.62904379433501101</v>
      </c>
      <c r="E33">
        <v>1362</v>
      </c>
      <c r="F33">
        <v>2.16</v>
      </c>
      <c r="G33" s="1">
        <f t="shared" si="0"/>
        <v>0.93455690880049225</v>
      </c>
      <c r="I33" s="1">
        <f t="shared" si="1"/>
        <v>0.57886047056755019</v>
      </c>
      <c r="P33">
        <v>900</v>
      </c>
      <c r="Q33">
        <v>-0.613316931029674</v>
      </c>
      <c r="V33">
        <v>1298.6169729238361</v>
      </c>
      <c r="W33">
        <v>9.832863266353134E-2</v>
      </c>
      <c r="X33" s="1">
        <f>$B$83*V33*LN(W33/$W$62)/2</f>
        <v>0.31675280370584447</v>
      </c>
      <c r="Y33" s="1"/>
      <c r="Z33" s="1">
        <f t="shared" si="2"/>
        <v>-0.10831852589460556</v>
      </c>
    </row>
    <row r="34" spans="1:26" x14ac:dyDescent="0.35">
      <c r="A34">
        <v>880</v>
      </c>
      <c r="B34">
        <v>-0.60972533318380095</v>
      </c>
      <c r="E34">
        <v>1361</v>
      </c>
      <c r="F34">
        <v>2.6</v>
      </c>
      <c r="G34" s="1">
        <f t="shared" si="0"/>
        <v>0.95561434609103912</v>
      </c>
      <c r="I34" s="1">
        <f t="shared" si="1"/>
        <v>0.59991790785809718</v>
      </c>
      <c r="P34">
        <v>880</v>
      </c>
      <c r="Q34">
        <v>-0.59158898202056398</v>
      </c>
      <c r="V34">
        <v>1282.051282051282</v>
      </c>
      <c r="W34">
        <v>0.125</v>
      </c>
      <c r="X34" s="1">
        <f>$B$83*V34*LN(W34/$W$62)/2</f>
        <v>0.32596901378765886</v>
      </c>
      <c r="Y34" s="1"/>
      <c r="Z34" s="1">
        <f t="shared" si="2"/>
        <v>-9.9102315812791164E-2</v>
      </c>
    </row>
    <row r="35" spans="1:26" x14ac:dyDescent="0.35">
      <c r="A35">
        <v>860</v>
      </c>
      <c r="B35">
        <v>-0.59054683187063695</v>
      </c>
      <c r="E35">
        <v>1360.840455065048</v>
      </c>
      <c r="F35">
        <v>2.5071481636787971</v>
      </c>
      <c r="G35" s="1">
        <f t="shared" si="0"/>
        <v>0.95123796951519046</v>
      </c>
      <c r="I35" s="1">
        <f t="shared" si="1"/>
        <v>0.59554153128224852</v>
      </c>
      <c r="P35">
        <v>860</v>
      </c>
      <c r="Q35">
        <v>-0.57002532629571101</v>
      </c>
      <c r="V35">
        <v>1282.2485510591373</v>
      </c>
      <c r="W35">
        <v>0.11747081990885121</v>
      </c>
      <c r="X35" s="1">
        <f>$B$83*V35*LN(W35/$W$62)/2</f>
        <v>0.32258710042019972</v>
      </c>
      <c r="Y35" s="1"/>
      <c r="Z35" s="1">
        <f t="shared" si="2"/>
        <v>-0.1024842291802503</v>
      </c>
    </row>
    <row r="36" spans="1:26" x14ac:dyDescent="0.35">
      <c r="A36">
        <v>840</v>
      </c>
      <c r="B36">
        <v>-0.57151154585578301</v>
      </c>
      <c r="E36">
        <v>1358.4003477504889</v>
      </c>
      <c r="F36">
        <v>3.0353585553831608</v>
      </c>
      <c r="G36" s="1">
        <f t="shared" si="0"/>
        <v>0.97191100277211495</v>
      </c>
      <c r="I36" s="1">
        <f t="shared" si="1"/>
        <v>0.616214564539173</v>
      </c>
      <c r="P36">
        <v>840</v>
      </c>
      <c r="Q36">
        <v>-0.54863284567922699</v>
      </c>
      <c r="V36">
        <v>1265.8227848101264</v>
      </c>
      <c r="W36">
        <v>0.14799999999999999</v>
      </c>
      <c r="X36" s="1">
        <f>$B$83*V36*LN(W36/$W$62)/2</f>
        <v>0.33105420784535589</v>
      </c>
      <c r="Y36" s="1"/>
      <c r="Z36" s="1">
        <f t="shared" si="2"/>
        <v>-9.4017121755094135E-2</v>
      </c>
    </row>
    <row r="37" spans="1:26" x14ac:dyDescent="0.35">
      <c r="A37">
        <v>820</v>
      </c>
      <c r="B37">
        <v>-0.55262288566437301</v>
      </c>
      <c r="E37">
        <v>1358</v>
      </c>
      <c r="F37">
        <v>3.1</v>
      </c>
      <c r="G37" s="1">
        <f t="shared" si="0"/>
        <v>0.97409044738416051</v>
      </c>
      <c r="I37" s="1">
        <f t="shared" si="1"/>
        <v>0.61839400915121856</v>
      </c>
      <c r="P37">
        <v>820</v>
      </c>
      <c r="Q37">
        <v>-0.52741941985922602</v>
      </c>
      <c r="U37">
        <v>60</v>
      </c>
      <c r="V37">
        <v>1253.2741787920943</v>
      </c>
      <c r="W37">
        <v>0.14950303183823185</v>
      </c>
      <c r="X37" s="1">
        <f>$B$83*V37*LN(W37/$W$62)/2</f>
        <v>0.32831794590427943</v>
      </c>
      <c r="Y37" s="1"/>
      <c r="Z37" s="1">
        <f t="shared" si="2"/>
        <v>-9.6753383696170592E-2</v>
      </c>
    </row>
    <row r="38" spans="1:26" x14ac:dyDescent="0.35">
      <c r="A38">
        <v>800</v>
      </c>
      <c r="B38">
        <v>-0.53388442823697102</v>
      </c>
      <c r="E38">
        <v>1355</v>
      </c>
      <c r="F38">
        <v>3.62</v>
      </c>
      <c r="G38" s="1">
        <f t="shared" si="0"/>
        <v>0.99004480490115243</v>
      </c>
      <c r="I38" s="1">
        <f t="shared" si="1"/>
        <v>0.63434836666821037</v>
      </c>
      <c r="P38">
        <v>800</v>
      </c>
      <c r="Q38">
        <v>-0.50639410594211098</v>
      </c>
      <c r="U38" s="2"/>
      <c r="V38" s="2">
        <v>1250</v>
      </c>
      <c r="W38">
        <v>0.16</v>
      </c>
      <c r="X38" s="1">
        <f>$B$83*V38*LN(W38/$W$62)/2</f>
        <v>0.33111474651506712</v>
      </c>
      <c r="Y38" s="1"/>
      <c r="Z38" s="1">
        <f t="shared" si="2"/>
        <v>-9.3956583085382905E-2</v>
      </c>
    </row>
    <row r="39" spans="1:26" x14ac:dyDescent="0.35">
      <c r="A39">
        <v>780</v>
      </c>
      <c r="B39">
        <v>-0.51529992941574199</v>
      </c>
      <c r="D39">
        <v>48</v>
      </c>
      <c r="E39">
        <v>1352.3199047966789</v>
      </c>
      <c r="F39">
        <v>3.5318316979195705</v>
      </c>
      <c r="G39" s="1">
        <f t="shared" si="0"/>
        <v>0.98521325395787607</v>
      </c>
      <c r="I39" s="1">
        <f t="shared" si="1"/>
        <v>0.62951681572493401</v>
      </c>
      <c r="P39">
        <v>780</v>
      </c>
      <c r="Q39">
        <v>-0.485567349798046</v>
      </c>
      <c r="V39">
        <v>1234.6593574832705</v>
      </c>
      <c r="W39">
        <v>0.17373607267160932</v>
      </c>
      <c r="X39" s="1">
        <f>$B$83*V39*LN(W39/$W$62)/2</f>
        <v>0.33143248757307503</v>
      </c>
      <c r="Y39" s="1"/>
      <c r="Z39" s="1">
        <f t="shared" si="2"/>
        <v>-9.3638842027374991E-2</v>
      </c>
    </row>
    <row r="40" spans="1:26" x14ac:dyDescent="0.35">
      <c r="A40">
        <v>760</v>
      </c>
      <c r="B40">
        <v>-0.49687333771193598</v>
      </c>
      <c r="E40">
        <v>1352</v>
      </c>
      <c r="F40">
        <v>3.62</v>
      </c>
      <c r="G40" s="1">
        <f t="shared" si="0"/>
        <v>0.98785282378329009</v>
      </c>
      <c r="I40" s="1">
        <f t="shared" si="1"/>
        <v>0.63215638555034803</v>
      </c>
      <c r="P40">
        <v>760</v>
      </c>
      <c r="Q40">
        <v>-0.464951235487298</v>
      </c>
      <c r="V40">
        <v>1234.5679012345679</v>
      </c>
      <c r="W40">
        <v>0.18</v>
      </c>
      <c r="X40" s="1">
        <f>$B$83*V40*LN(W40/$W$62)/2</f>
        <v>0.33329194975717158</v>
      </c>
      <c r="Y40" s="1"/>
      <c r="Z40" s="1">
        <f t="shared" si="2"/>
        <v>-9.1779379843278441E-2</v>
      </c>
    </row>
    <row r="41" spans="1:26" x14ac:dyDescent="0.35">
      <c r="A41">
        <v>740</v>
      </c>
      <c r="B41">
        <v>-0.47860880952336599</v>
      </c>
      <c r="E41">
        <v>1347.7088948787061</v>
      </c>
      <c r="F41">
        <v>4.2146352970771428</v>
      </c>
      <c r="G41" s="1">
        <f t="shared" si="0"/>
        <v>1.0023798988236026</v>
      </c>
      <c r="I41" s="1">
        <f t="shared" si="1"/>
        <v>0.64668346059066062</v>
      </c>
      <c r="P41">
        <v>740</v>
      </c>
      <c r="Q41">
        <v>-0.44455978047496603</v>
      </c>
      <c r="V41">
        <v>1204.8192771084339</v>
      </c>
      <c r="W41">
        <v>0.188</v>
      </c>
      <c r="X41" s="1">
        <f>$B$83*V41*LN(W41/$W$62)/2</f>
        <v>0.32751811488100324</v>
      </c>
      <c r="Y41" s="1"/>
      <c r="Z41" s="1">
        <f t="shared" si="2"/>
        <v>-9.7553214719446779E-2</v>
      </c>
    </row>
    <row r="42" spans="1:26" x14ac:dyDescent="0.35">
      <c r="A42">
        <v>720</v>
      </c>
      <c r="B42">
        <v>-0.46051072599797899</v>
      </c>
      <c r="E42">
        <v>1347</v>
      </c>
      <c r="F42">
        <v>4.3</v>
      </c>
      <c r="G42" s="1">
        <f t="shared" si="0"/>
        <v>1.0041800978455264</v>
      </c>
      <c r="I42" s="1">
        <f t="shared" si="1"/>
        <v>0.64848365961258447</v>
      </c>
      <c r="P42">
        <v>720</v>
      </c>
      <c r="Q42">
        <v>-0.42507132960045002</v>
      </c>
      <c r="U42">
        <v>65</v>
      </c>
      <c r="V42">
        <v>1202.5012025012024</v>
      </c>
      <c r="W42">
        <v>0.18434866630831936</v>
      </c>
      <c r="X42" s="1">
        <f>$B$83*V42*LN(W42/$W$62)/2</f>
        <v>0.32587182072183296</v>
      </c>
      <c r="Y42" s="1"/>
      <c r="Z42" s="1">
        <f t="shared" si="2"/>
        <v>-9.919950887861706E-2</v>
      </c>
    </row>
    <row r="43" spans="1:26" x14ac:dyDescent="0.35">
      <c r="A43">
        <v>700</v>
      </c>
      <c r="B43">
        <v>-0.442583711772295</v>
      </c>
      <c r="E43">
        <v>1341</v>
      </c>
      <c r="F43">
        <v>4.68</v>
      </c>
      <c r="G43" s="1">
        <f t="shared" si="0"/>
        <v>1.0094926021928916</v>
      </c>
      <c r="I43" s="1">
        <f t="shared" si="1"/>
        <v>0.65379616395994966</v>
      </c>
      <c r="P43">
        <v>700</v>
      </c>
      <c r="Q43">
        <v>-0.41010169870393798</v>
      </c>
      <c r="V43">
        <v>1176.8444094006331</v>
      </c>
      <c r="W43">
        <v>0.17861173946408093</v>
      </c>
      <c r="X43" s="1">
        <f>$B$83*V43*LN(W43/$W$62)/2</f>
        <v>0.3173159658565553</v>
      </c>
      <c r="Y43" s="1"/>
      <c r="Z43" s="1">
        <f t="shared" si="2"/>
        <v>-0.10775536374389472</v>
      </c>
    </row>
    <row r="44" spans="1:26" x14ac:dyDescent="0.35">
      <c r="A44">
        <v>680</v>
      </c>
      <c r="B44">
        <v>-0.42483265585276903</v>
      </c>
      <c r="E44">
        <v>1340.931947703654</v>
      </c>
      <c r="F44">
        <v>4.5792040902327473</v>
      </c>
      <c r="G44" s="1">
        <f t="shared" si="0"/>
        <v>1.0069255549561056</v>
      </c>
      <c r="I44" s="1">
        <f t="shared" si="1"/>
        <v>0.65122911672316364</v>
      </c>
      <c r="P44">
        <v>680</v>
      </c>
      <c r="Q44">
        <v>-0.395299548761262</v>
      </c>
      <c r="V44">
        <v>1176.4705882352941</v>
      </c>
      <c r="W44">
        <v>0.188</v>
      </c>
      <c r="X44" s="1">
        <f>$B$83*V44*LN(W44/$W$62)/2</f>
        <v>0.31981180629556782</v>
      </c>
      <c r="Y44" s="1"/>
      <c r="Z44" s="1">
        <f t="shared" si="2"/>
        <v>-0.1052595233048822</v>
      </c>
    </row>
    <row r="45" spans="1:26" x14ac:dyDescent="0.35">
      <c r="A45">
        <v>660</v>
      </c>
      <c r="B45">
        <v>-0.40726273495545701</v>
      </c>
      <c r="E45">
        <v>1329.7341861361915</v>
      </c>
      <c r="F45">
        <v>5.4644945857933918</v>
      </c>
      <c r="G45" s="1">
        <f t="shared" si="0"/>
        <v>1.0187691616443475</v>
      </c>
      <c r="I45" s="1">
        <f t="shared" si="1"/>
        <v>0.66307272341140555</v>
      </c>
      <c r="P45">
        <v>660</v>
      </c>
      <c r="Q45">
        <v>-0.38066814753349298</v>
      </c>
      <c r="V45">
        <v>1135.2928487903455</v>
      </c>
      <c r="W45">
        <v>0.15188678868723512</v>
      </c>
      <c r="X45" s="1">
        <f>$B$83*V45*LN(W45/$W$62)/2</f>
        <v>0.29818435279607869</v>
      </c>
      <c r="Y45" s="1"/>
      <c r="Z45" s="1">
        <f t="shared" si="2"/>
        <v>-0.12688697680437133</v>
      </c>
    </row>
    <row r="46" spans="1:26" x14ac:dyDescent="0.35">
      <c r="A46">
        <v>640</v>
      </c>
      <c r="B46">
        <v>-0.38987943967677602</v>
      </c>
      <c r="E46">
        <v>1329</v>
      </c>
      <c r="F46">
        <v>5.6</v>
      </c>
      <c r="G46" s="1">
        <f t="shared" si="0"/>
        <v>1.0210118300069122</v>
      </c>
      <c r="I46" s="1">
        <f t="shared" si="1"/>
        <v>0.66531539177397025</v>
      </c>
      <c r="P46">
        <v>640</v>
      </c>
      <c r="Q46">
        <v>-0.36621109704362897</v>
      </c>
      <c r="V46">
        <v>1111.1111111111111</v>
      </c>
      <c r="W46">
        <v>0.13500000000000001</v>
      </c>
      <c r="X46" s="1">
        <f>$B$83*V46*LN(W46/$W$62)/2</f>
        <v>0.28619077467969334</v>
      </c>
      <c r="Y46" s="1"/>
      <c r="Z46" s="1">
        <f t="shared" si="2"/>
        <v>-0.13888055492075668</v>
      </c>
    </row>
    <row r="47" spans="1:26" x14ac:dyDescent="0.35">
      <c r="A47">
        <v>620</v>
      </c>
      <c r="B47">
        <v>-0.37268860393813202</v>
      </c>
      <c r="E47">
        <v>1316</v>
      </c>
      <c r="F47">
        <v>6.37</v>
      </c>
      <c r="G47" s="1">
        <f t="shared" si="0"/>
        <v>1.0256341174546588</v>
      </c>
      <c r="I47" s="1">
        <f t="shared" si="1"/>
        <v>0.66993767922171688</v>
      </c>
      <c r="P47">
        <v>620</v>
      </c>
      <c r="Q47">
        <v>-0.35193236205732997</v>
      </c>
      <c r="V47">
        <v>1110.1489819933836</v>
      </c>
      <c r="W47">
        <v>0.12663390517899314</v>
      </c>
      <c r="X47" s="1">
        <f>$B$83*V47*LN(W47/$W$62)/2</f>
        <v>0.28288300834824459</v>
      </c>
      <c r="Y47" s="1"/>
      <c r="Z47" s="1">
        <f t="shared" si="2"/>
        <v>-0.14218832125220543</v>
      </c>
    </row>
    <row r="48" spans="1:26" x14ac:dyDescent="0.35">
      <c r="A48">
        <v>600</v>
      </c>
      <c r="B48">
        <v>-0.355696438232942</v>
      </c>
      <c r="E48">
        <v>1315.8414147926892</v>
      </c>
      <c r="F48">
        <v>6.2672930184367415</v>
      </c>
      <c r="G48" s="1">
        <f t="shared" si="0"/>
        <v>1.0236674389952083</v>
      </c>
      <c r="I48" s="1">
        <f t="shared" si="1"/>
        <v>0.66797100076226634</v>
      </c>
      <c r="P48">
        <v>600</v>
      </c>
      <c r="Q48">
        <v>-0.33783630175450402</v>
      </c>
      <c r="V48">
        <v>1052.6315789473686</v>
      </c>
      <c r="W48">
        <v>8.2000000000000003E-2</v>
      </c>
      <c r="X48" s="1">
        <f>$B$83*V48*LN(W48/$W$62)/2</f>
        <v>0.24851729700114178</v>
      </c>
      <c r="Y48" s="1"/>
      <c r="Z48" s="1">
        <f t="shared" si="2"/>
        <v>-0.17655403259930824</v>
      </c>
    </row>
    <row r="49" spans="1:26" x14ac:dyDescent="0.35">
      <c r="A49">
        <v>580</v>
      </c>
      <c r="B49">
        <v>-0.34044489132750999</v>
      </c>
      <c r="D49">
        <v>40</v>
      </c>
      <c r="E49">
        <v>1295.9075240390846</v>
      </c>
      <c r="F49">
        <v>6.5445531639534762</v>
      </c>
      <c r="G49" s="1">
        <f t="shared" si="0"/>
        <v>1.0129937048097588</v>
      </c>
      <c r="I49" s="1">
        <f t="shared" si="1"/>
        <v>0.65729726657681686</v>
      </c>
      <c r="P49">
        <v>580</v>
      </c>
      <c r="Q49">
        <v>-0.32392770502162799</v>
      </c>
      <c r="V49">
        <v>1051.4583727630222</v>
      </c>
      <c r="W49">
        <v>7.8491024910921858E-2</v>
      </c>
      <c r="X49" s="1">
        <f>$B$83*V49*LN(W49/$W$62)/2</f>
        <v>0.24625902818014256</v>
      </c>
      <c r="Y49" s="1"/>
      <c r="Z49" s="1">
        <f t="shared" si="2"/>
        <v>-0.17881230142030746</v>
      </c>
    </row>
    <row r="50" spans="1:26" x14ac:dyDescent="0.35">
      <c r="A50">
        <v>560</v>
      </c>
      <c r="B50">
        <v>-0.326027683849267</v>
      </c>
      <c r="D50">
        <v>30</v>
      </c>
      <c r="E50">
        <v>1277.3023374632776</v>
      </c>
      <c r="F50">
        <v>6.4508954007197472</v>
      </c>
      <c r="G50" s="1">
        <f t="shared" si="0"/>
        <v>0.99686377842863494</v>
      </c>
      <c r="I50" s="1">
        <f t="shared" si="1"/>
        <v>0.64116734019569299</v>
      </c>
      <c r="P50">
        <v>560</v>
      </c>
      <c r="Q50">
        <v>-0.31021182985768098</v>
      </c>
      <c r="V50">
        <v>1000</v>
      </c>
      <c r="W50">
        <v>4.5999999999999999E-2</v>
      </c>
      <c r="X50" s="1">
        <f>$B$83*V50*LN(W50/$W$62)/2</f>
        <v>0.21118494795043696</v>
      </c>
      <c r="Y50" s="1"/>
      <c r="Z50" s="1">
        <f t="shared" si="2"/>
        <v>-0.21388638165001306</v>
      </c>
    </row>
    <row r="51" spans="1:26" x14ac:dyDescent="0.35">
      <c r="A51">
        <v>540</v>
      </c>
      <c r="B51">
        <v>-0.311826054592442</v>
      </c>
      <c r="E51">
        <v>1250.5314758772479</v>
      </c>
      <c r="F51">
        <v>5.7683286990788112</v>
      </c>
      <c r="G51" s="1">
        <f t="shared" si="0"/>
        <v>0.96391928561111728</v>
      </c>
      <c r="I51" s="1">
        <f t="shared" si="1"/>
        <v>0.60822284737817522</v>
      </c>
      <c r="P51">
        <v>540</v>
      </c>
      <c r="Q51">
        <v>-0.29669444745743301</v>
      </c>
      <c r="V51">
        <v>999.70008997300818</v>
      </c>
      <c r="W51">
        <v>4.3726025126031735E-2</v>
      </c>
      <c r="X51" s="1">
        <f>$B$83*V51*LN(W51/$W$62)/2</f>
        <v>0.20893794620900649</v>
      </c>
      <c r="Y51" s="1"/>
      <c r="Z51" s="1">
        <f t="shared" si="2"/>
        <v>-0.21613338339144353</v>
      </c>
    </row>
    <row r="52" spans="1:26" x14ac:dyDescent="0.35">
      <c r="A52">
        <v>520</v>
      </c>
      <c r="B52">
        <v>-0.29784608980362198</v>
      </c>
      <c r="E52">
        <v>1219.2594218271822</v>
      </c>
      <c r="F52">
        <v>4.8338147211822218</v>
      </c>
      <c r="G52" s="1">
        <f t="shared" si="0"/>
        <v>0.92124493203714264</v>
      </c>
      <c r="I52" s="1">
        <f t="shared" si="1"/>
        <v>0.56554849380420058</v>
      </c>
      <c r="P52">
        <v>520</v>
      </c>
      <c r="Q52">
        <v>-0.28338189161424399</v>
      </c>
      <c r="V52">
        <v>970.53457044139918</v>
      </c>
      <c r="W52">
        <v>2.9565824864715647E-2</v>
      </c>
      <c r="X52" s="1">
        <f>$B$83*V52*LN(W52/$W$62)/2</f>
        <v>0.18647891858420895</v>
      </c>
      <c r="Y52" s="1"/>
      <c r="Z52" s="1">
        <f t="shared" si="2"/>
        <v>-0.23859241101624107</v>
      </c>
    </row>
    <row r="53" spans="1:26" x14ac:dyDescent="0.35">
      <c r="A53">
        <v>500</v>
      </c>
      <c r="B53">
        <v>-0.28409434739112199</v>
      </c>
      <c r="E53">
        <v>1171.5500779080801</v>
      </c>
      <c r="F53">
        <v>3.1695674630434914</v>
      </c>
      <c r="G53" s="1">
        <f t="shared" si="0"/>
        <v>0.84259076385469911</v>
      </c>
      <c r="I53" s="1">
        <f t="shared" si="1"/>
        <v>0.48689432562175711</v>
      </c>
      <c r="P53">
        <v>500</v>
      </c>
      <c r="Q53">
        <v>-0.270281114168619</v>
      </c>
      <c r="V53">
        <v>952.38095238095229</v>
      </c>
      <c r="W53">
        <v>2.5999999999999999E-2</v>
      </c>
      <c r="X53" s="1">
        <f>$B$83*V53*LN(W53/$W$62)/2</f>
        <v>0.17771716449843794</v>
      </c>
      <c r="Y53" s="1"/>
      <c r="Z53" s="1">
        <f t="shared" si="2"/>
        <v>-0.24735416510201208</v>
      </c>
    </row>
    <row r="54" spans="1:26" x14ac:dyDescent="0.35">
      <c r="A54">
        <v>480</v>
      </c>
      <c r="B54">
        <v>-0.27057791411784599</v>
      </c>
      <c r="E54">
        <v>1154.5477636409819</v>
      </c>
      <c r="F54">
        <v>2.9172254922429919</v>
      </c>
      <c r="G54" s="1">
        <f t="shared" si="0"/>
        <v>0.82210883993586847</v>
      </c>
      <c r="I54" s="1">
        <f t="shared" si="1"/>
        <v>0.46641240170292647</v>
      </c>
      <c r="P54">
        <v>480</v>
      </c>
      <c r="Q54">
        <v>-0.25739974731470699</v>
      </c>
      <c r="V54">
        <v>934.57943925233644</v>
      </c>
      <c r="W54">
        <v>1.7000000000000001E-2</v>
      </c>
      <c r="X54" s="1">
        <f>$B$83*V54*LN(W54/$W$62)/2</f>
        <v>0.15728685075828633</v>
      </c>
      <c r="Y54" s="1"/>
      <c r="Z54" s="1">
        <f t="shared" si="2"/>
        <v>-0.26778447884216372</v>
      </c>
    </row>
    <row r="55" spans="1:26" x14ac:dyDescent="0.35">
      <c r="A55">
        <v>460</v>
      </c>
      <c r="B55">
        <v>-0.25730447245812998</v>
      </c>
      <c r="E55">
        <v>1136.4669515410492</v>
      </c>
      <c r="F55">
        <v>2.5071481636787971</v>
      </c>
      <c r="G55" s="1">
        <f t="shared" si="0"/>
        <v>0.79439916074022943</v>
      </c>
      <c r="I55" s="1">
        <f t="shared" si="1"/>
        <v>0.43870272250728742</v>
      </c>
      <c r="P55">
        <v>460</v>
      </c>
      <c r="Q55">
        <v>-0.244746173656329</v>
      </c>
      <c r="V55">
        <v>925.70307148279119</v>
      </c>
      <c r="W55">
        <v>1.647062198988461E-2</v>
      </c>
      <c r="X55" s="1">
        <f>$B$83*V55*LN(W55/$W$62)/2</f>
        <v>0.15453125618303767</v>
      </c>
      <c r="Y55" s="1"/>
      <c r="Z55" s="1">
        <f t="shared" si="2"/>
        <v>-0.27054007341741237</v>
      </c>
    </row>
    <row r="56" spans="1:26" x14ac:dyDescent="0.35">
      <c r="A56">
        <v>440</v>
      </c>
      <c r="B56">
        <v>-0.244282379256199</v>
      </c>
      <c r="E56">
        <v>1117.9804800608181</v>
      </c>
      <c r="F56">
        <v>2.1546662050329823</v>
      </c>
      <c r="G56" s="1">
        <f t="shared" si="0"/>
        <v>0.766881040479231</v>
      </c>
      <c r="I56" s="1">
        <f t="shared" si="1"/>
        <v>0.411184602246289</v>
      </c>
      <c r="P56">
        <v>440</v>
      </c>
      <c r="Q56">
        <v>-0.2323296049618</v>
      </c>
      <c r="U56">
        <v>100</v>
      </c>
      <c r="V56">
        <v>833.25695144611745</v>
      </c>
      <c r="W56">
        <v>3.2187704083309642E-3</v>
      </c>
      <c r="X56" s="1">
        <f>$B$83*V56*LN(W56/$W$62)/2</f>
        <v>8.0487849985397084E-2</v>
      </c>
      <c r="Y56" s="1"/>
      <c r="Z56" s="1">
        <f t="shared" si="2"/>
        <v>-0.34458347961505292</v>
      </c>
    </row>
    <row r="57" spans="1:26" x14ac:dyDescent="0.35">
      <c r="A57">
        <v>420</v>
      </c>
      <c r="B57">
        <v>-0.231520758919459</v>
      </c>
      <c r="E57">
        <v>1100.4853140234843</v>
      </c>
      <c r="F57">
        <v>1.8055935721529799</v>
      </c>
      <c r="G57" s="1">
        <f t="shared" si="0"/>
        <v>0.73811953939690667</v>
      </c>
      <c r="I57" s="1">
        <f t="shared" si="1"/>
        <v>0.38242310116396466</v>
      </c>
      <c r="P57">
        <v>420</v>
      </c>
      <c r="Q57">
        <v>-0.220160170574415</v>
      </c>
      <c r="V57">
        <v>820</v>
      </c>
      <c r="W57">
        <f t="shared" ref="W57:W62" si="3">0.0521*((1000/V57)^(-15.3))</f>
        <v>2.5014375491772579E-3</v>
      </c>
      <c r="X57" s="1">
        <f>$B$83*V57*LN(W57/$W$62)/2</f>
        <v>7.0299491477576415E-2</v>
      </c>
      <c r="Z57" s="1">
        <f t="shared" si="2"/>
        <v>-0.35477183812287361</v>
      </c>
    </row>
    <row r="58" spans="1:26" x14ac:dyDescent="0.35">
      <c r="A58">
        <v>400</v>
      </c>
      <c r="B58">
        <v>-0.21902961467907101</v>
      </c>
      <c r="E58">
        <v>1087.9498672701163</v>
      </c>
      <c r="F58">
        <v>1.5972025687857576</v>
      </c>
      <c r="G58" s="1">
        <f t="shared" si="0"/>
        <v>0.71821481301631929</v>
      </c>
      <c r="I58" s="1">
        <f t="shared" si="1"/>
        <v>0.36251837478337728</v>
      </c>
      <c r="P58">
        <v>400</v>
      </c>
      <c r="Q58">
        <v>-0.20824901634238699</v>
      </c>
      <c r="V58">
        <v>800</v>
      </c>
      <c r="W58">
        <f t="shared" si="3"/>
        <v>1.7144093408904407E-3</v>
      </c>
      <c r="X58" s="1">
        <f>$B$83*V58*LN(W58/$W$62)/2</f>
        <v>5.556296368151753E-2</v>
      </c>
      <c r="Z58" s="1">
        <f t="shared" si="2"/>
        <v>-0.36950836591893249</v>
      </c>
    </row>
    <row r="59" spans="1:26" x14ac:dyDescent="0.35">
      <c r="A59">
        <v>380</v>
      </c>
      <c r="B59">
        <v>-0.20681996253714999</v>
      </c>
      <c r="E59">
        <v>1074.2869420422196</v>
      </c>
      <c r="F59">
        <v>1.4128628308606337</v>
      </c>
      <c r="G59" s="1">
        <f t="shared" si="0"/>
        <v>0.69784262857558665</v>
      </c>
      <c r="I59" s="1">
        <f t="shared" si="1"/>
        <v>0.34214619034264465</v>
      </c>
      <c r="P59">
        <v>380</v>
      </c>
      <c r="Q59">
        <v>-0.19660841464788201</v>
      </c>
      <c r="V59">
        <v>780</v>
      </c>
      <c r="W59">
        <f t="shared" si="3"/>
        <v>1.163818199939802E-3</v>
      </c>
      <c r="X59" s="1">
        <f>$B$83*V59*LN(W59/$W$62)/2</f>
        <v>4.1156070477404202E-2</v>
      </c>
      <c r="Z59" s="1">
        <f t="shared" si="2"/>
        <v>-0.3839152591230458</v>
      </c>
    </row>
    <row r="60" spans="1:26" x14ac:dyDescent="0.35">
      <c r="A60">
        <v>360</v>
      </c>
      <c r="B60">
        <v>-0.19490399401970401</v>
      </c>
      <c r="E60">
        <v>1058.6155425933964</v>
      </c>
      <c r="F60">
        <v>1.1839680966717407</v>
      </c>
      <c r="G60" s="1">
        <f t="shared" si="0"/>
        <v>0.67153972538105078</v>
      </c>
      <c r="I60" s="1">
        <f t="shared" si="1"/>
        <v>0.31584328714810878</v>
      </c>
      <c r="P60">
        <v>360</v>
      </c>
      <c r="Q60">
        <v>-0.18525188547707</v>
      </c>
      <c r="V60">
        <v>760</v>
      </c>
      <c r="W60">
        <f t="shared" si="3"/>
        <v>7.8214213982052516E-4</v>
      </c>
      <c r="X60" s="1">
        <f>$B$83*V60*LN(W60/$W$62)/2</f>
        <v>2.7087265864182048E-2</v>
      </c>
      <c r="Z60" s="1">
        <f t="shared" si="2"/>
        <v>-0.39798406373626799</v>
      </c>
    </row>
    <row r="61" spans="1:26" x14ac:dyDescent="0.35">
      <c r="A61">
        <v>340</v>
      </c>
      <c r="B61">
        <v>-0.183295275957333</v>
      </c>
      <c r="E61">
        <v>1041.1135750799056</v>
      </c>
      <c r="F61">
        <v>0.98857585719519514</v>
      </c>
      <c r="G61" s="1">
        <f t="shared" si="0"/>
        <v>0.64425651077511115</v>
      </c>
      <c r="I61" s="1">
        <f t="shared" si="1"/>
        <v>0.28856007254216914</v>
      </c>
      <c r="P61">
        <v>340</v>
      </c>
      <c r="Q61">
        <v>-0.17419432718917099</v>
      </c>
      <c r="V61">
        <v>740</v>
      </c>
      <c r="W61">
        <f t="shared" si="3"/>
        <v>5.2009542697242534E-4</v>
      </c>
      <c r="X61" s="1">
        <f>$B$83*V61*LN(W61/$W$62)/2</f>
        <v>1.3365448938376172E-2</v>
      </c>
      <c r="Z61" s="1">
        <f t="shared" si="2"/>
        <v>-0.41170588066207386</v>
      </c>
    </row>
    <row r="62" spans="1:26" x14ac:dyDescent="0.35">
      <c r="A62">
        <v>320</v>
      </c>
      <c r="B62">
        <v>-0.172008998517172</v>
      </c>
      <c r="E62">
        <v>1026.7362109326871</v>
      </c>
      <c r="F62">
        <v>0.84044635886971719</v>
      </c>
      <c r="G62" s="1">
        <f t="shared" si="0"/>
        <v>0.62099742418932968</v>
      </c>
      <c r="I62" s="1">
        <f t="shared" si="1"/>
        <v>0.26530098595638768</v>
      </c>
      <c r="P62">
        <v>320</v>
      </c>
      <c r="Q62">
        <v>-0.163452153176114</v>
      </c>
      <c r="V62">
        <v>720</v>
      </c>
      <c r="W62">
        <f t="shared" si="3"/>
        <v>3.4199906497557012E-4</v>
      </c>
      <c r="X62" s="1">
        <f>$B$83*V62*LN(W62/$W$62)/2</f>
        <v>0</v>
      </c>
      <c r="Y62">
        <v>-0.42507132960045002</v>
      </c>
      <c r="Z62" s="1">
        <f>X62+$Y$62</f>
        <v>-0.42507132960045002</v>
      </c>
    </row>
    <row r="63" spans="1:26" x14ac:dyDescent="0.35">
      <c r="A63">
        <v>300</v>
      </c>
      <c r="B63">
        <v>-0.16106228707915399</v>
      </c>
      <c r="E63">
        <v>1008.5932141848549</v>
      </c>
      <c r="F63">
        <v>0.68425818329424126</v>
      </c>
      <c r="G63" s="1">
        <f t="shared" si="0"/>
        <v>0.59215545130465741</v>
      </c>
      <c r="I63" s="1">
        <f t="shared" si="1"/>
        <v>0.23645901307171541</v>
      </c>
      <c r="P63">
        <v>300</v>
      </c>
      <c r="Q63">
        <v>-0.153043425958098</v>
      </c>
      <c r="V63">
        <v>700</v>
      </c>
      <c r="X63">
        <v>-0.41010169870393798</v>
      </c>
      <c r="Y63">
        <v>-0.41010169870393798</v>
      </c>
      <c r="Z63">
        <v>-0.41010169870393798</v>
      </c>
    </row>
    <row r="64" spans="1:26" x14ac:dyDescent="0.35">
      <c r="E64">
        <v>1000.5803365952253</v>
      </c>
      <c r="F64">
        <v>0.62978164650425328</v>
      </c>
      <c r="G64" s="1">
        <f t="shared" si="0"/>
        <v>0.58029801202511377</v>
      </c>
      <c r="I64" s="1">
        <f t="shared" si="1"/>
        <v>0.22460157379217177</v>
      </c>
      <c r="V64">
        <v>680</v>
      </c>
      <c r="X64">
        <v>-0.395299548761262</v>
      </c>
      <c r="Y64">
        <v>-0.395299548761262</v>
      </c>
      <c r="Z64">
        <v>-0.395299548761262</v>
      </c>
    </row>
    <row r="65" spans="4:26" x14ac:dyDescent="0.35">
      <c r="E65">
        <v>909.66978986627862</v>
      </c>
      <c r="F65">
        <v>0.18407296166152287</v>
      </c>
      <c r="G65" s="1">
        <f t="shared" si="0"/>
        <v>0.43115510774242333</v>
      </c>
      <c r="I65" s="1">
        <f t="shared" si="1"/>
        <v>7.5458669509481324E-2</v>
      </c>
      <c r="V65">
        <v>660</v>
      </c>
      <c r="X65">
        <v>-0.38066814753349298</v>
      </c>
      <c r="Y65">
        <v>-0.38066814753349298</v>
      </c>
      <c r="Z65">
        <v>-0.38066814753349298</v>
      </c>
    </row>
    <row r="66" spans="4:26" x14ac:dyDescent="0.35">
      <c r="D66">
        <v>0</v>
      </c>
      <c r="E66">
        <v>846.90498572965089</v>
      </c>
      <c r="F66">
        <v>6.8757487730502234E-2</v>
      </c>
      <c r="G66" s="1">
        <f t="shared" si="0"/>
        <v>0.32954190764240088</v>
      </c>
      <c r="I66" s="1">
        <f t="shared" si="1"/>
        <v>-2.6154530590541125E-2</v>
      </c>
      <c r="V66">
        <v>640</v>
      </c>
      <c r="X66">
        <v>-0.36621109704362897</v>
      </c>
      <c r="Y66">
        <v>-0.36621109704362897</v>
      </c>
      <c r="Z66">
        <v>-0.36621109704362897</v>
      </c>
    </row>
    <row r="67" spans="4:26" x14ac:dyDescent="0.35">
      <c r="E67">
        <v>840</v>
      </c>
      <c r="F67">
        <f t="shared" ref="F67:F79" si="4">0.6216*((1000/E67)^(-13.15))</f>
        <v>6.2774551352191232E-2</v>
      </c>
      <c r="G67" s="1">
        <f t="shared" ref="G67:G78" si="5">$B$83*E67*LN(F67/$F$79)</f>
        <v>0.32026565430711307</v>
      </c>
      <c r="I67" s="1">
        <f t="shared" ref="I67:I78" si="6">G67+$H$79</f>
        <v>-3.5430783925828935E-2</v>
      </c>
      <c r="V67">
        <v>620</v>
      </c>
      <c r="X67">
        <v>-0.35193236205732997</v>
      </c>
      <c r="Y67">
        <v>-0.35193236205732997</v>
      </c>
      <c r="Z67">
        <v>-0.35193236205732997</v>
      </c>
    </row>
    <row r="68" spans="4:26" x14ac:dyDescent="0.35">
      <c r="E68">
        <v>820</v>
      </c>
      <c r="F68">
        <f t="shared" si="4"/>
        <v>4.572599501234214E-2</v>
      </c>
      <c r="G68" s="1">
        <f t="shared" si="5"/>
        <v>0.29024953283651722</v>
      </c>
      <c r="I68" s="1">
        <f t="shared" si="6"/>
        <v>-6.5446905396424782E-2</v>
      </c>
      <c r="V68">
        <v>600</v>
      </c>
      <c r="X68">
        <v>-0.33783630175450402</v>
      </c>
      <c r="Y68">
        <v>-0.33783630175450402</v>
      </c>
      <c r="Z68">
        <v>-0.33783630175450402</v>
      </c>
    </row>
    <row r="69" spans="4:26" x14ac:dyDescent="0.35">
      <c r="E69">
        <v>800</v>
      </c>
      <c r="F69">
        <f t="shared" si="4"/>
        <v>3.3047935529268213E-2</v>
      </c>
      <c r="G69" s="1">
        <f t="shared" si="5"/>
        <v>0.26078621520694806</v>
      </c>
      <c r="I69" s="1">
        <f t="shared" si="6"/>
        <v>-9.4910223025993945E-2</v>
      </c>
      <c r="V69">
        <v>580</v>
      </c>
      <c r="X69">
        <v>-0.32392770502162799</v>
      </c>
      <c r="Y69">
        <v>-0.32392770502162799</v>
      </c>
      <c r="Z69">
        <v>-0.32392770502162799</v>
      </c>
    </row>
    <row r="70" spans="4:26" x14ac:dyDescent="0.35">
      <c r="E70">
        <v>780</v>
      </c>
      <c r="F70">
        <f t="shared" si="4"/>
        <v>2.3689452912003237E-2</v>
      </c>
      <c r="G70" s="1">
        <f t="shared" si="5"/>
        <v>0.23188952435961208</v>
      </c>
      <c r="I70" s="1">
        <f t="shared" si="6"/>
        <v>-0.12380691387332993</v>
      </c>
      <c r="V70">
        <v>560</v>
      </c>
      <c r="X70">
        <v>-0.31021182985768098</v>
      </c>
      <c r="Y70">
        <v>-0.31021182985768098</v>
      </c>
      <c r="Z70">
        <v>-0.31021182985768098</v>
      </c>
    </row>
    <row r="71" spans="4:26" x14ac:dyDescent="0.35">
      <c r="E71">
        <v>760</v>
      </c>
      <c r="F71">
        <f t="shared" si="4"/>
        <v>1.6834869116165777E-2</v>
      </c>
      <c r="G71" s="1">
        <f t="shared" si="5"/>
        <v>0.20357399233191253</v>
      </c>
      <c r="I71" s="1">
        <f t="shared" si="6"/>
        <v>-0.15212244590102947</v>
      </c>
      <c r="V71">
        <v>540</v>
      </c>
      <c r="X71">
        <v>-0.29669444745743301</v>
      </c>
      <c r="Y71">
        <v>-0.29669444745743301</v>
      </c>
      <c r="Z71">
        <v>-0.29669444745743301</v>
      </c>
    </row>
    <row r="72" spans="4:26" x14ac:dyDescent="0.35">
      <c r="E72">
        <v>740</v>
      </c>
      <c r="F72">
        <f t="shared" si="4"/>
        <v>1.1855179123616234E-2</v>
      </c>
      <c r="G72" s="1">
        <f t="shared" si="5"/>
        <v>0.17585491626362798</v>
      </c>
      <c r="I72" s="1">
        <f t="shared" si="6"/>
        <v>-0.17984152196931402</v>
      </c>
      <c r="V72">
        <v>520</v>
      </c>
      <c r="X72">
        <v>-0.28338189161424399</v>
      </c>
      <c r="Y72">
        <v>-0.28338189161424399</v>
      </c>
      <c r="Z72">
        <v>-0.28338189161424399</v>
      </c>
    </row>
    <row r="73" spans="4:26" x14ac:dyDescent="0.35">
      <c r="E73">
        <v>720</v>
      </c>
      <c r="F73">
        <f t="shared" si="4"/>
        <v>8.2686257174047449E-3</v>
      </c>
      <c r="G73" s="1">
        <f t="shared" si="5"/>
        <v>0.14874842046131731</v>
      </c>
      <c r="I73" s="1">
        <f t="shared" si="6"/>
        <v>-0.20694801777162469</v>
      </c>
      <c r="V73">
        <v>500</v>
      </c>
      <c r="X73">
        <v>-0.270281114168619</v>
      </c>
      <c r="Y73">
        <v>-0.270281114168619</v>
      </c>
      <c r="Z73">
        <v>-0.270281114168619</v>
      </c>
    </row>
    <row r="74" spans="4:26" x14ac:dyDescent="0.35">
      <c r="E74">
        <v>700</v>
      </c>
      <c r="F74">
        <f t="shared" si="4"/>
        <v>5.7088710310190614E-3</v>
      </c>
      <c r="G74" s="1">
        <f t="shared" si="5"/>
        <v>0.12227152536298021</v>
      </c>
      <c r="I74" s="1">
        <f t="shared" si="6"/>
        <v>-0.23342491286996181</v>
      </c>
      <c r="V74">
        <v>480</v>
      </c>
      <c r="X74">
        <v>-0.25739974731470699</v>
      </c>
      <c r="Y74">
        <v>-0.25739974731470799</v>
      </c>
      <c r="Z74">
        <v>-0.25739974731470699</v>
      </c>
    </row>
    <row r="75" spans="4:26" x14ac:dyDescent="0.35">
      <c r="E75">
        <v>680</v>
      </c>
      <c r="F75">
        <f t="shared" si="4"/>
        <v>3.8994486696104971E-3</v>
      </c>
      <c r="G75" s="1">
        <f t="shared" si="5"/>
        <v>9.6442224389476167E-2</v>
      </c>
      <c r="I75" s="1">
        <f t="shared" si="6"/>
        <v>-0.25925421384346581</v>
      </c>
      <c r="V75">
        <v>460</v>
      </c>
      <c r="X75">
        <v>-0.244746173656329</v>
      </c>
      <c r="Y75">
        <v>-0.244746173656329</v>
      </c>
      <c r="Z75">
        <v>-0.244746173656329</v>
      </c>
    </row>
    <row r="76" spans="4:26" x14ac:dyDescent="0.35">
      <c r="E76">
        <v>660</v>
      </c>
      <c r="F76">
        <f t="shared" si="4"/>
        <v>2.6333813661734156E-3</v>
      </c>
      <c r="G76" s="1">
        <f t="shared" si="5"/>
        <v>7.1279569843457985E-2</v>
      </c>
      <c r="I76" s="1">
        <f t="shared" si="6"/>
        <v>-0.28441686838948399</v>
      </c>
      <c r="V76">
        <v>440</v>
      </c>
      <c r="X76">
        <v>-0.2323296049618</v>
      </c>
      <c r="Y76">
        <v>-0.232329604961801</v>
      </c>
      <c r="Z76">
        <v>-0.2323296049618</v>
      </c>
    </row>
    <row r="77" spans="4:26" x14ac:dyDescent="0.35">
      <c r="E77">
        <v>640</v>
      </c>
      <c r="F77">
        <f t="shared" si="4"/>
        <v>1.7570238782925807E-3</v>
      </c>
      <c r="G77" s="1">
        <f t="shared" si="5"/>
        <v>4.6803769227828695E-2</v>
      </c>
      <c r="I77" s="1">
        <f t="shared" si="6"/>
        <v>-0.30889266900511331</v>
      </c>
      <c r="V77">
        <v>420</v>
      </c>
      <c r="X77">
        <v>-0.220160170574415</v>
      </c>
      <c r="Y77">
        <v>-0.220160170574415</v>
      </c>
      <c r="Z77">
        <v>-0.220160170574415</v>
      </c>
    </row>
    <row r="78" spans="4:26" x14ac:dyDescent="0.35">
      <c r="E78">
        <v>620</v>
      </c>
      <c r="F78">
        <f t="shared" si="4"/>
        <v>1.1573420232299059E-3</v>
      </c>
      <c r="G78" s="1">
        <f t="shared" si="5"/>
        <v>2.3036293613253617E-2</v>
      </c>
      <c r="I78" s="1">
        <f t="shared" si="6"/>
        <v>-0.3326601446196884</v>
      </c>
      <c r="V78">
        <v>400</v>
      </c>
      <c r="X78">
        <v>-0.20824901634238699</v>
      </c>
      <c r="Y78">
        <v>-0.20824901634238699</v>
      </c>
      <c r="Z78">
        <v>-0.20824901634238699</v>
      </c>
    </row>
    <row r="79" spans="4:26" x14ac:dyDescent="0.35">
      <c r="E79">
        <v>600</v>
      </c>
      <c r="F79">
        <f t="shared" si="4"/>
        <v>7.5196901941352353E-4</v>
      </c>
      <c r="G79" s="1">
        <f>$B$83*E79*LN(F79/$F$79)</f>
        <v>0</v>
      </c>
      <c r="H79">
        <v>-0.355696438232942</v>
      </c>
      <c r="I79" s="1">
        <f>G79+$H$79</f>
        <v>-0.355696438232942</v>
      </c>
      <c r="V79">
        <v>380</v>
      </c>
      <c r="X79">
        <v>-0.19660841464788201</v>
      </c>
      <c r="Y79">
        <v>-0.19660841464788201</v>
      </c>
      <c r="Z79">
        <v>-0.19660841464788201</v>
      </c>
    </row>
    <row r="80" spans="4:26" x14ac:dyDescent="0.35">
      <c r="E80">
        <v>580</v>
      </c>
      <c r="G80">
        <v>-0.34044489132750999</v>
      </c>
      <c r="H80">
        <v>-0.34044489132750999</v>
      </c>
      <c r="I80">
        <v>-0.34044489132750999</v>
      </c>
      <c r="V80">
        <v>360</v>
      </c>
      <c r="X80">
        <v>-0.18525188547707</v>
      </c>
      <c r="Y80">
        <v>-0.18525188547707</v>
      </c>
      <c r="Z80">
        <v>-0.18525188547707</v>
      </c>
    </row>
    <row r="81" spans="1:26" x14ac:dyDescent="0.35">
      <c r="E81">
        <v>560</v>
      </c>
      <c r="G81">
        <v>-0.326027683849267</v>
      </c>
      <c r="H81">
        <v>-0.326027683849267</v>
      </c>
      <c r="I81">
        <v>-0.326027683849267</v>
      </c>
      <c r="V81">
        <v>340</v>
      </c>
      <c r="X81">
        <v>-0.17419432718917099</v>
      </c>
      <c r="Y81">
        <v>-0.17419432718917099</v>
      </c>
      <c r="Z81">
        <v>-0.17419432718917099</v>
      </c>
    </row>
    <row r="82" spans="1:26" x14ac:dyDescent="0.35">
      <c r="E82">
        <v>540</v>
      </c>
      <c r="G82">
        <v>-0.311826054592442</v>
      </c>
      <c r="H82">
        <v>-0.311826054592442</v>
      </c>
      <c r="I82">
        <v>-0.311826054592442</v>
      </c>
      <c r="V82">
        <v>320</v>
      </c>
      <c r="X82">
        <v>-0.163452153176114</v>
      </c>
      <c r="Y82">
        <v>-0.163452153176114</v>
      </c>
      <c r="Z82">
        <v>-0.163452153176114</v>
      </c>
    </row>
    <row r="83" spans="1:26" x14ac:dyDescent="0.35">
      <c r="A83" t="s">
        <v>20</v>
      </c>
      <c r="B83" s="1">
        <v>8.6169999999999997E-5</v>
      </c>
      <c r="C83" s="1"/>
      <c r="E83">
        <v>520</v>
      </c>
      <c r="G83">
        <v>-0.29784608980362198</v>
      </c>
      <c r="H83">
        <v>-0.29784608980362198</v>
      </c>
      <c r="I83">
        <v>-0.29784608980362198</v>
      </c>
      <c r="V83">
        <v>300</v>
      </c>
      <c r="X83">
        <v>-0.153043425958098</v>
      </c>
      <c r="Y83">
        <v>-0.153043425958098</v>
      </c>
      <c r="Z83">
        <v>-0.153043425958098</v>
      </c>
    </row>
    <row r="84" spans="1:26" x14ac:dyDescent="0.35">
      <c r="E84">
        <v>500</v>
      </c>
      <c r="G84">
        <v>-0.28409434739112199</v>
      </c>
      <c r="H84">
        <v>-0.28409434739112199</v>
      </c>
      <c r="I84">
        <v>-0.28409434739112199</v>
      </c>
    </row>
    <row r="85" spans="1:26" x14ac:dyDescent="0.35">
      <c r="E85">
        <v>480</v>
      </c>
      <c r="G85">
        <v>-0.27057791411784599</v>
      </c>
      <c r="H85">
        <v>-0.27057791411784599</v>
      </c>
      <c r="I85">
        <v>-0.27057791411784599</v>
      </c>
    </row>
    <row r="86" spans="1:26" x14ac:dyDescent="0.35">
      <c r="E86">
        <v>460</v>
      </c>
      <c r="G86">
        <v>-0.25730447245812998</v>
      </c>
      <c r="H86">
        <v>-0.25730447245812998</v>
      </c>
      <c r="I86">
        <v>-0.25730447245812998</v>
      </c>
    </row>
    <row r="87" spans="1:26" x14ac:dyDescent="0.35">
      <c r="E87">
        <v>440</v>
      </c>
      <c r="G87">
        <v>-0.244282379256199</v>
      </c>
      <c r="H87">
        <v>-0.244282379256199</v>
      </c>
      <c r="I87">
        <v>-0.244282379256199</v>
      </c>
    </row>
    <row r="88" spans="1:26" x14ac:dyDescent="0.35">
      <c r="E88">
        <v>420</v>
      </c>
      <c r="G88">
        <v>-0.231520758919459</v>
      </c>
      <c r="H88">
        <v>-0.231520758919459</v>
      </c>
      <c r="I88">
        <v>-0.231520758919459</v>
      </c>
    </row>
    <row r="89" spans="1:26" x14ac:dyDescent="0.35">
      <c r="E89">
        <v>400</v>
      </c>
      <c r="G89">
        <v>-0.21902961467907101</v>
      </c>
      <c r="H89">
        <v>-0.21902961467907101</v>
      </c>
      <c r="I89">
        <v>-0.21902961467907101</v>
      </c>
    </row>
    <row r="90" spans="1:26" x14ac:dyDescent="0.35">
      <c r="E90">
        <v>380</v>
      </c>
      <c r="G90">
        <v>-0.20681996253714999</v>
      </c>
      <c r="H90">
        <v>-0.20681996253714999</v>
      </c>
      <c r="I90">
        <v>-0.20681996253714999</v>
      </c>
    </row>
    <row r="91" spans="1:26" x14ac:dyDescent="0.35">
      <c r="E91">
        <v>360</v>
      </c>
      <c r="G91">
        <v>-0.19490399401970401</v>
      </c>
      <c r="H91">
        <v>-0.19490399401970401</v>
      </c>
      <c r="I91">
        <v>-0.19490399401970401</v>
      </c>
    </row>
    <row r="92" spans="1:26" x14ac:dyDescent="0.35">
      <c r="E92">
        <v>340</v>
      </c>
      <c r="G92">
        <v>-0.183295275957333</v>
      </c>
      <c r="H92">
        <v>-0.183295275957334</v>
      </c>
      <c r="I92">
        <v>-0.183295275957333</v>
      </c>
    </row>
    <row r="93" spans="1:26" x14ac:dyDescent="0.35">
      <c r="E93">
        <v>320</v>
      </c>
      <c r="G93">
        <v>-0.172008998517172</v>
      </c>
      <c r="H93">
        <v>-0.172008998517172</v>
      </c>
      <c r="I93">
        <v>-0.172008998517172</v>
      </c>
    </row>
    <row r="94" spans="1:26" x14ac:dyDescent="0.35">
      <c r="E94">
        <v>300</v>
      </c>
      <c r="G94">
        <v>-0.16106228707915399</v>
      </c>
      <c r="H94">
        <v>-0.16106228707915399</v>
      </c>
      <c r="I94">
        <v>-0.16106228707915399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liquidus line</vt:lpstr>
      <vt:lpstr>Excess values</vt:lpstr>
      <vt:lpstr>dmu=dmu0+dmu(p)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Kh. Aaditta Arnab</dc:creator>
  <cp:lastModifiedBy>Kh. Aaditta Arnab</cp:lastModifiedBy>
  <dcterms:created xsi:type="dcterms:W3CDTF">2026-04-14T21:32:48Z</dcterms:created>
  <dcterms:modified xsi:type="dcterms:W3CDTF">2026-04-14T22:33:27Z</dcterms:modified>
</cp:coreProperties>
</file>